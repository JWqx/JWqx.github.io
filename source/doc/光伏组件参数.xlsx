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695"/>
  </bookViews>
  <sheets>
    <sheet name="Sheet1" sheetId="1" r:id="rId1"/>
    <sheet name="Sheet3" sheetId="2" r:id="rId2"/>
  </sheets>
  <definedNames>
    <definedName name="_xlnm._FilterDatabase" localSheetId="0" hidden="1">Sheet1!$B$5:$R$86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<sst xmlns="http://schemas.openxmlformats.org/spreadsheetml/2006/main" count="156" uniqueCount="123">
  <si>
    <t>光伏组件对比表格</t>
  </si>
  <si>
    <t>奥海单相逆变器3-6kW，双路MPPT，每路MPPT最大输入电流16A，180%超配比，120A最大充放电电流</t>
  </si>
  <si>
    <t>目前计算方法6000w/16A最大电流=最大电压</t>
  </si>
  <si>
    <t>PV Modules Parameters Form</t>
  </si>
  <si>
    <t>参数对照表 / Technical Parameter</t>
  </si>
  <si>
    <t>厂商</t>
  </si>
  <si>
    <t>系列</t>
  </si>
  <si>
    <t>组件型号</t>
  </si>
  <si>
    <t>配板最大功率(Pmax/W)</t>
  </si>
  <si>
    <t>开路电压(Voc/V)</t>
  </si>
  <si>
    <t>短路电流(Isc/A)</t>
  </si>
  <si>
    <t>峰值电压(Vmp/V)</t>
  </si>
  <si>
    <t>峰值电流(lmp/A)</t>
  </si>
  <si>
    <t>系列开路电压范围(Voc/V)</t>
  </si>
  <si>
    <t>系列短路电流范围(Isc/A)</t>
  </si>
  <si>
    <t>配板数量（单相）</t>
  </si>
  <si>
    <t>容配比</t>
  </si>
  <si>
    <t>单板功率范围(Pmax/W)</t>
  </si>
  <si>
    <t>峰值电压范围(Vmp/V)</t>
  </si>
  <si>
    <t>峰值电流范围(Imp/A)</t>
  </si>
  <si>
    <t>光伏板尺寸</t>
  </si>
  <si>
    <t>STC温度系数(Voc/V)</t>
  </si>
  <si>
    <t>隆  基</t>
  </si>
  <si>
    <t>Hi-MO 5</t>
  </si>
  <si>
    <t>LR5-72HBD-540M</t>
  </si>
  <si>
    <t>49.50~50.10</t>
  </si>
  <si>
    <t>13.85~14.10</t>
  </si>
  <si>
    <t>d</t>
  </si>
  <si>
    <t>2278×1134×30mm</t>
  </si>
  <si>
    <t>-0.265%/℃</t>
  </si>
  <si>
    <t>LR5-72HBD-545M</t>
  </si>
  <si>
    <t>LR5-72HBD-550M</t>
  </si>
  <si>
    <t>LR5-72HBD-555M</t>
  </si>
  <si>
    <t>LR5-72HBD-560M</t>
  </si>
  <si>
    <t>Hi-MO 5m（35-35&amp;15框）</t>
  </si>
  <si>
    <t>LR5-72HPH-545M</t>
  </si>
  <si>
    <t>2278×1134×35mm</t>
  </si>
  <si>
    <t>LR5-72HPH-550M</t>
  </si>
  <si>
    <t>LR5-72HPH-555M</t>
  </si>
  <si>
    <t>LR5-72HPH-560M</t>
  </si>
  <si>
    <t>LR5-72HPH-565M</t>
  </si>
  <si>
    <t>Hi-MO 5m（30-30&amp;15框）</t>
  </si>
  <si>
    <t>LR5-54HPH-405M</t>
  </si>
  <si>
    <t>1722×1134×30mm</t>
  </si>
  <si>
    <t>LR5-54HPH-410M</t>
  </si>
  <si>
    <t>LR5-54HPH-415M</t>
  </si>
  <si>
    <t>LR5-54HPH-420M</t>
  </si>
  <si>
    <t>LR5-54HPH-425M</t>
  </si>
  <si>
    <t>Hi-MO 7</t>
  </si>
  <si>
    <t>LR7-72HGD-585M</t>
  </si>
  <si>
    <t>2382x1134x30mm</t>
  </si>
  <si>
    <t>-0.230%/℃</t>
  </si>
  <si>
    <t>LR7-72HGD-590M</t>
  </si>
  <si>
    <t>LR7-72HGD-600M</t>
  </si>
  <si>
    <t>LR7-72HGD-605M</t>
  </si>
  <si>
    <t>LR7-72HGD-610M</t>
  </si>
  <si>
    <t>LR7-72HGD-615M</t>
  </si>
  <si>
    <t>LR7-72HGD-620M</t>
  </si>
  <si>
    <t>Hi-MO X6 探索家</t>
  </si>
  <si>
    <t>LR5-72HTD-560M</t>
  </si>
  <si>
    <t xml:space="preserve">
Hi-MO X6 探索家
LR5-72HTD</t>
  </si>
  <si>
    <t>LR5-72HTD-565M</t>
  </si>
  <si>
    <t>LR5-72HTD-570M</t>
  </si>
  <si>
    <t>LR5-72HTD-575M</t>
  </si>
  <si>
    <t>LR5-72HTD-580M</t>
  </si>
  <si>
    <t>LR5-72HTD-585M</t>
  </si>
  <si>
    <t>Hi-MO X6 探索家
LR5-66HTH</t>
  </si>
  <si>
    <t>LR5-66HTH-520M</t>
  </si>
  <si>
    <t>2094×1134×35mm</t>
  </si>
  <si>
    <t>-0.23%/℃</t>
  </si>
  <si>
    <t>LR5-66HTH-525M</t>
  </si>
  <si>
    <t>LR5-66HTH-530M</t>
  </si>
  <si>
    <t>LR5-66HTH-535M</t>
  </si>
  <si>
    <t>￡804.4</t>
  </si>
  <si>
    <t>LR5-66HTH-540M</t>
  </si>
  <si>
    <t>Hi-MO X6 探索家
LR5-72HTH
565~585M</t>
  </si>
  <si>
    <t>LR5-72HTH-565M</t>
  </si>
  <si>
    <t>LR5-72HTH-570M</t>
  </si>
  <si>
    <t>LR5-72HTH-575M</t>
  </si>
  <si>
    <t>LR5-72HTH-580M</t>
  </si>
  <si>
    <t>LR5-72HTH-585M</t>
  </si>
  <si>
    <t>Hi-MO X6 探索家
LR5-54HTH
420~440M</t>
  </si>
  <si>
    <t>LR5-54HTH-420M</t>
  </si>
  <si>
    <t>LR5-54HTH-425M</t>
  </si>
  <si>
    <t>LR5-54HTH-430M</t>
  </si>
  <si>
    <t>LR5-54HTH-435M</t>
  </si>
  <si>
    <t>LR5-54HTH-440M</t>
  </si>
  <si>
    <t xml:space="preserve">Hi-MO X6 探索家
LR5-72HTH 565-585M （35-35&amp;15框-双认证）
</t>
  </si>
  <si>
    <t>Hi-MO X6 探索家
LR5-54HTB
415~435M</t>
  </si>
  <si>
    <t>LR5-54HTB-415M</t>
  </si>
  <si>
    <t>LR5-54HTB-420M</t>
  </si>
  <si>
    <t>LR5-54HTB-425M</t>
  </si>
  <si>
    <t>LR5-54HTB-430M</t>
  </si>
  <si>
    <t>LR5-54HTB-435M</t>
  </si>
  <si>
    <t>Hi-MO X6 极智家
LR5-72HTDR
565~590M</t>
  </si>
  <si>
    <t>LR5-72HTDR-565M</t>
  </si>
  <si>
    <t>LR5-72HTDR-570M</t>
  </si>
  <si>
    <t>LR5-72HTDR-575M</t>
  </si>
  <si>
    <t>LR5-72HTDR-580M</t>
  </si>
  <si>
    <t>LR5-72HTDR-585M</t>
  </si>
  <si>
    <t>LR5-72HTDR-590M</t>
  </si>
  <si>
    <r>
      <t xml:space="preserve">Hi-MO X6 </t>
    </r>
    <r>
      <rPr>
        <sz val="12"/>
        <color theme="0"/>
        <rFont val="宋体"/>
        <charset val="134"/>
      </rPr>
      <t>极智家</t>
    </r>
    <r>
      <rPr>
        <sz val="12"/>
        <color theme="0"/>
        <rFont val="Segoe UI"/>
        <charset val="134"/>
      </rPr>
      <t xml:space="preserve">
LR5-72HTHF 565-600M
</t>
    </r>
    <r>
      <rPr>
        <sz val="12"/>
        <color theme="0"/>
        <rFont val="宋体"/>
        <charset val="134"/>
      </rPr>
      <t>（防积灰边框</t>
    </r>
    <r>
      <rPr>
        <sz val="12"/>
        <color theme="0"/>
        <rFont val="Segoe UI"/>
        <charset val="134"/>
      </rPr>
      <t>-</t>
    </r>
    <r>
      <rPr>
        <sz val="12"/>
        <color theme="0"/>
        <rFont val="宋体"/>
        <charset val="134"/>
      </rPr>
      <t>单认证）</t>
    </r>
  </si>
  <si>
    <t>LR5-72HTHF-565M</t>
  </si>
  <si>
    <t>2281×1134×30mm</t>
  </si>
  <si>
    <t>LR5-72HTHF-570M</t>
  </si>
  <si>
    <t>LR5-72HTHF-575M</t>
  </si>
  <si>
    <t>LR5-72HTHF-580M</t>
  </si>
  <si>
    <t>LR5-72HTHF-585M</t>
  </si>
  <si>
    <t>LR5-72HTHF-590M</t>
  </si>
  <si>
    <t>LR5-72HTHF-595M</t>
  </si>
  <si>
    <t>LR5-72HTHF-600M</t>
  </si>
  <si>
    <t>Hi-MO X6 科学家 
LR5-72HTH 590-600M</t>
  </si>
  <si>
    <t>LR5-72HTH-590M</t>
  </si>
  <si>
    <t>LR5-72HTH-595M</t>
  </si>
  <si>
    <t>LR5-72HTH-600M</t>
  </si>
  <si>
    <t>Hi-MO X6 科学家 
LR5-54HTH 445-455M</t>
  </si>
  <si>
    <t>LR5-54HTH-445M</t>
  </si>
  <si>
    <t>LR5-54HTH-450M</t>
  </si>
  <si>
    <t>LR5-54HTH-455M</t>
  </si>
  <si>
    <r>
      <t xml:space="preserve">Hi-MO X6 </t>
    </r>
    <r>
      <rPr>
        <sz val="12"/>
        <color theme="0"/>
        <rFont val="宋体"/>
        <charset val="134"/>
      </rPr>
      <t>科学家</t>
    </r>
    <r>
      <rPr>
        <sz val="12"/>
        <color theme="0"/>
        <rFont val="Segoe UI"/>
        <charset val="134"/>
      </rPr>
      <t xml:space="preserve">
 LR5-54HTB 440-450M</t>
    </r>
  </si>
  <si>
    <t>LR5-54HTB-440M</t>
  </si>
  <si>
    <t>LR5-54HTB-445M</t>
  </si>
  <si>
    <t>LR5-54HTB-450M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</si>
</sst>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7">
    <font>
      <sz val="9"/>
      <color theme="1"/>
      <name val="等线"/>
      <charset val="134"/>
      <scheme val="minor"/>
    </font>
    <font>
      <sz val="10"/>
      <color theme="1"/>
      <name val="Microsoft YaHei UI"/>
      <charset val="134"/>
    </font>
    <font>
      <sz val="12"/>
      <color theme="1"/>
      <name val="Microsoft YaHei UI"/>
      <charset val="134"/>
    </font>
    <font>
      <b/>
      <sz val="10"/>
      <color theme="1"/>
      <name val="Microsoft YaHei UI"/>
      <charset val="134"/>
    </font>
    <font>
      <b/>
      <sz val="36"/>
      <color theme="3"/>
      <name val="Microsoft YaHei UI"/>
      <charset val="134"/>
    </font>
    <font>
      <sz val="18"/>
      <color theme="3"/>
      <name val="Microsoft YaHei UI"/>
      <charset val="134"/>
    </font>
    <font>
      <sz val="14"/>
      <color theme="0"/>
      <name val="Microsoft YaHei UI"/>
      <charset val="134"/>
    </font>
    <font>
      <b/>
      <sz val="12"/>
      <color theme="3"/>
      <name val="Microsoft YaHei UI"/>
      <charset val="134"/>
    </font>
    <font>
      <b/>
      <sz val="36"/>
      <color theme="1"/>
      <name val="Microsoft YaHei UI"/>
      <charset val="134"/>
    </font>
    <font>
      <sz val="11"/>
      <color theme="1" tint="0.499984740745262"/>
      <name val="Microsoft YaHei UI"/>
      <charset val="134"/>
    </font>
    <font>
      <sz val="12"/>
      <color theme="1" tint="0.499984740745262"/>
      <name val="Microsoft YaHei UI"/>
      <charset val="134"/>
    </font>
    <font>
      <sz val="12"/>
      <color theme="0"/>
      <name val="Microsoft YaHei UI"/>
      <charset val="134"/>
    </font>
    <font>
      <b/>
      <sz val="12"/>
      <color theme="1"/>
      <name val="Microsoft YaHei UI"/>
      <charset val="134"/>
    </font>
    <font>
      <sz val="12"/>
      <color theme="0"/>
      <name val="等线"/>
      <charset val="134"/>
      <scheme val="minor"/>
    </font>
    <font>
      <sz val="12"/>
      <name val="Microsoft YaHei UI"/>
      <charset val="134"/>
    </font>
    <font>
      <sz val="12"/>
      <color theme="0"/>
      <name val="Segoe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EAEDF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3" tint="0.39991454817346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5" applyNumberFormat="0" applyAlignment="0" applyProtection="0">
      <alignment vertical="center"/>
    </xf>
    <xf numFmtId="0" fontId="26" fillId="11" borderId="6" applyNumberFormat="0" applyAlignment="0" applyProtection="0">
      <alignment vertical="center"/>
    </xf>
    <xf numFmtId="0" fontId="27" fillId="11" borderId="5" applyNumberFormat="0" applyAlignment="0" applyProtection="0">
      <alignment vertical="center"/>
    </xf>
    <xf numFmtId="0" fontId="28" fillId="12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176" fontId="6" fillId="2" borderId="0" xfId="0" applyNumberFormat="1" applyFont="1" applyFill="1" applyBorder="1" applyAlignment="1">
      <alignment horizontal="left" vertical="center" indent="3"/>
    </xf>
    <xf numFmtId="0" fontId="2" fillId="2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 textRotation="255"/>
    </xf>
    <xf numFmtId="0" fontId="9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176" fontId="11" fillId="2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3" fillId="7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textRotation="255"/>
    </xf>
    <xf numFmtId="0" fontId="2" fillId="0" borderId="0" xfId="0" applyFont="1" applyFill="1" applyAlignment="1">
      <alignment horizontal="center" vertical="center"/>
    </xf>
    <xf numFmtId="176" fontId="10" fillId="0" borderId="0" xfId="0" applyNumberFormat="1" applyFont="1" applyFill="1" applyAlignment="1">
      <alignment horizontal="center" vertical="center"/>
    </xf>
    <xf numFmtId="176" fontId="14" fillId="0" borderId="0" xfId="0" applyNumberFormat="1" applyFont="1" applyFill="1" applyAlignment="1">
      <alignment horizontal="center" vertical="center"/>
    </xf>
    <xf numFmtId="176" fontId="11" fillId="2" borderId="0" xfId="0" applyNumberFormat="1" applyFont="1" applyFill="1" applyAlignment="1">
      <alignment horizontal="center" vertical="center"/>
    </xf>
    <xf numFmtId="176" fontId="11" fillId="6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/>
    </xf>
    <xf numFmtId="176" fontId="13" fillId="7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14" fillId="0" borderId="0" xfId="0" applyNumberFormat="1" applyFont="1" applyFill="1" applyAlignment="1">
      <alignment horizontal="center" vertical="center"/>
    </xf>
    <xf numFmtId="49" fontId="11" fillId="6" borderId="0" xfId="0" applyNumberFormat="1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1" fillId="2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49" fontId="11" fillId="7" borderId="0" xfId="0" applyNumberFormat="1" applyFont="1" applyFill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AEDF2"/>
      <color rgb="00F0F3FA"/>
      <color rgb="00F1F7ED"/>
      <color rgb="00F1F3F5"/>
      <color rgb="00EDEFF3"/>
      <color rgb="00E3E7ED"/>
      <color rgb="0044546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87"/>
  <sheetViews>
    <sheetView showGridLines="0" tabSelected="1" zoomScale="70" zoomScaleNormal="70" workbookViewId="0">
      <pane xSplit="4" ySplit="6" topLeftCell="E7" activePane="bottomRight" state="frozen"/>
      <selection/>
      <selection pane="topRight"/>
      <selection pane="bottomLeft"/>
      <selection pane="bottomRight" activeCell="O12" sqref="O12:O16"/>
    </sheetView>
  </sheetViews>
  <sheetFormatPr defaultColWidth="15.8333333333333" defaultRowHeight="30" customHeight="1"/>
  <cols>
    <col min="1" max="1" width="15.8333333333333" style="7"/>
    <col min="2" max="17" width="33.5" style="7" customWidth="1"/>
    <col min="18" max="18" width="33.5" style="8" customWidth="1"/>
    <col min="19" max="16384" width="15.8333333333333" style="7"/>
  </cols>
  <sheetData>
    <row r="2" ht="51" spans="2:12">
      <c r="B2" s="9" t="s">
        <v>0</v>
      </c>
      <c r="C2" s="9"/>
      <c r="D2" s="10"/>
      <c r="E2" s="10"/>
      <c r="F2" s="10"/>
      <c r="G2" s="11" t="s">
        <v>1</v>
      </c>
      <c r="H2" s="11"/>
      <c r="I2" s="11"/>
      <c r="J2" s="11"/>
      <c r="L2" s="7" t="s">
        <v>2</v>
      </c>
    </row>
    <row r="3" ht="24.75" spans="2:6">
      <c r="B3" s="12" t="s">
        <v>3</v>
      </c>
      <c r="C3" s="12"/>
      <c r="D3" s="13"/>
      <c r="E3" s="13"/>
      <c r="F3" s="13"/>
    </row>
    <row r="4" ht="25.5" customHeight="1"/>
    <row r="5" s="4" customFormat="1" ht="36" customHeight="1" spans="2:18">
      <c r="B5" s="14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49"/>
    </row>
    <row r="6" s="5" customFormat="1" customHeight="1" spans="2:18">
      <c r="B6" s="16" t="s">
        <v>5</v>
      </c>
      <c r="C6" s="16" t="s">
        <v>6</v>
      </c>
      <c r="D6" s="17" t="s">
        <v>7</v>
      </c>
      <c r="E6" s="18" t="s">
        <v>8</v>
      </c>
      <c r="F6" s="17" t="s">
        <v>9</v>
      </c>
      <c r="G6" s="17" t="s">
        <v>10</v>
      </c>
      <c r="H6" s="17" t="s">
        <v>11</v>
      </c>
      <c r="I6" s="17" t="s">
        <v>12</v>
      </c>
      <c r="J6" s="17" t="s">
        <v>13</v>
      </c>
      <c r="K6" s="17" t="s">
        <v>14</v>
      </c>
      <c r="L6" s="17" t="s">
        <v>15</v>
      </c>
      <c r="M6" s="17" t="s">
        <v>16</v>
      </c>
      <c r="N6" s="17" t="s">
        <v>17</v>
      </c>
      <c r="O6" s="17" t="s">
        <v>18</v>
      </c>
      <c r="P6" s="17" t="s">
        <v>19</v>
      </c>
      <c r="Q6" s="17" t="s">
        <v>20</v>
      </c>
      <c r="R6" s="50" t="s">
        <v>21</v>
      </c>
    </row>
    <row r="7" customHeight="1" spans="2:18">
      <c r="B7" s="19" t="s">
        <v>22</v>
      </c>
      <c r="C7" s="20" t="s">
        <v>23</v>
      </c>
      <c r="D7" s="21" t="s">
        <v>24</v>
      </c>
      <c r="E7" s="2">
        <v>540</v>
      </c>
      <c r="F7" s="22">
        <v>49.5</v>
      </c>
      <c r="G7" s="22">
        <v>13.85</v>
      </c>
      <c r="H7" s="22">
        <v>41.65</v>
      </c>
      <c r="I7" s="22">
        <v>12.97</v>
      </c>
      <c r="J7" s="40" t="s">
        <v>25</v>
      </c>
      <c r="K7" s="40" t="s">
        <v>26</v>
      </c>
      <c r="L7" s="30">
        <f>CEILING(550/F7,1)</f>
        <v>12</v>
      </c>
      <c r="M7" s="41">
        <f>(E7*L7*2)/6000</f>
        <v>2.16</v>
      </c>
      <c r="N7" s="41" t="str">
        <f>MIN(E7:E11)&amp;"~"&amp;MAX(E7:E11)</f>
        <v>540~560</v>
      </c>
      <c r="O7" s="41" t="str">
        <f>MIN(H7:H7)&amp;"~"&amp;MAX(H7:H11)</f>
        <v>41.65~42.25</v>
      </c>
      <c r="P7" s="41" t="s">
        <v>27</v>
      </c>
      <c r="Q7" s="41" t="s">
        <v>28</v>
      </c>
      <c r="R7" s="51" t="s">
        <v>29</v>
      </c>
    </row>
    <row r="8" customHeight="1" spans="2:18">
      <c r="B8" s="19"/>
      <c r="C8" s="20"/>
      <c r="D8" s="21" t="s">
        <v>30</v>
      </c>
      <c r="E8" s="2">
        <v>545</v>
      </c>
      <c r="F8" s="22">
        <v>49.65</v>
      </c>
      <c r="G8" s="22">
        <v>13.92</v>
      </c>
      <c r="H8" s="22">
        <v>41.8</v>
      </c>
      <c r="I8" s="22">
        <v>13.04</v>
      </c>
      <c r="J8" s="40"/>
      <c r="K8" s="40"/>
      <c r="L8" s="30">
        <f>CEILING(550/F8,1)</f>
        <v>12</v>
      </c>
      <c r="M8" s="41">
        <f t="shared" ref="M8:M35" si="0">(E8*L8*2)/6000</f>
        <v>2.18</v>
      </c>
      <c r="N8" s="41"/>
      <c r="O8" s="41"/>
      <c r="P8" s="41"/>
      <c r="Q8" s="41"/>
      <c r="R8" s="51"/>
    </row>
    <row r="9" customHeight="1" spans="2:18">
      <c r="B9" s="19"/>
      <c r="C9" s="20"/>
      <c r="D9" s="21" t="s">
        <v>31</v>
      </c>
      <c r="E9" s="2">
        <v>550</v>
      </c>
      <c r="F9" s="22">
        <v>49.8</v>
      </c>
      <c r="G9" s="22">
        <v>13.99</v>
      </c>
      <c r="H9" s="22">
        <v>41.95</v>
      </c>
      <c r="I9" s="22">
        <v>13.12</v>
      </c>
      <c r="J9" s="40"/>
      <c r="K9" s="40"/>
      <c r="L9" s="30">
        <f>CEILING(550/F9,1)</f>
        <v>12</v>
      </c>
      <c r="M9" s="41">
        <f t="shared" si="0"/>
        <v>2.2</v>
      </c>
      <c r="N9" s="41"/>
      <c r="O9" s="41"/>
      <c r="P9" s="41"/>
      <c r="Q9" s="41"/>
      <c r="R9" s="51"/>
    </row>
    <row r="10" customHeight="1" spans="2:18">
      <c r="B10" s="19"/>
      <c r="C10" s="20"/>
      <c r="D10" s="21" t="s">
        <v>32</v>
      </c>
      <c r="E10" s="2">
        <v>555</v>
      </c>
      <c r="F10" s="22">
        <v>49.95</v>
      </c>
      <c r="G10" s="22">
        <v>14.05</v>
      </c>
      <c r="H10" s="22">
        <v>42.1</v>
      </c>
      <c r="I10" s="22">
        <v>13.19</v>
      </c>
      <c r="J10" s="40"/>
      <c r="K10" s="40"/>
      <c r="L10" s="30">
        <f>CEILING(550/F10,1)</f>
        <v>12</v>
      </c>
      <c r="M10" s="41">
        <f t="shared" si="0"/>
        <v>2.22</v>
      </c>
      <c r="N10" s="41"/>
      <c r="O10" s="41"/>
      <c r="P10" s="41"/>
      <c r="Q10" s="41"/>
      <c r="R10" s="51"/>
    </row>
    <row r="11" customHeight="1" spans="2:18">
      <c r="B11" s="19"/>
      <c r="C11" s="20"/>
      <c r="D11" s="21" t="s">
        <v>33</v>
      </c>
      <c r="E11" s="2">
        <v>560</v>
      </c>
      <c r="F11" s="22">
        <v>50.1</v>
      </c>
      <c r="G11" s="22">
        <v>14.1</v>
      </c>
      <c r="H11" s="22">
        <v>42.25</v>
      </c>
      <c r="I11" s="22">
        <v>13.26</v>
      </c>
      <c r="J11" s="40"/>
      <c r="K11" s="40"/>
      <c r="L11" s="30">
        <f>CEILING(550/F11,1)</f>
        <v>11</v>
      </c>
      <c r="M11" s="41">
        <f t="shared" si="0"/>
        <v>2.05333333333333</v>
      </c>
      <c r="N11" s="41"/>
      <c r="O11" s="41"/>
      <c r="P11" s="41"/>
      <c r="Q11" s="41"/>
      <c r="R11" s="51"/>
    </row>
    <row r="12" customHeight="1" spans="2:18">
      <c r="B12" s="19"/>
      <c r="C12" s="23" t="s">
        <v>34</v>
      </c>
      <c r="D12" s="24" t="s">
        <v>35</v>
      </c>
      <c r="E12" s="2">
        <v>545</v>
      </c>
      <c r="F12" s="25">
        <v>49.65</v>
      </c>
      <c r="G12" s="25">
        <v>13.92</v>
      </c>
      <c r="H12" s="25">
        <v>41.8</v>
      </c>
      <c r="I12" s="25">
        <v>13.04</v>
      </c>
      <c r="J12" s="42" t="str">
        <f>MIN(F12:F16)&amp;"~"&amp;MAX(F12:F16)</f>
        <v>49.65~50.3</v>
      </c>
      <c r="K12" s="42" t="str">
        <f>MIN(G12:G16)&amp;"~"&amp;MAX(G12:G16)</f>
        <v>13.92~14.16</v>
      </c>
      <c r="L12" s="32">
        <f>CEILING(550/F12,1)</f>
        <v>12</v>
      </c>
      <c r="M12" s="43">
        <f t="shared" si="0"/>
        <v>2.18</v>
      </c>
      <c r="N12" s="43" t="str">
        <f>MIN(E12:E16)&amp;"~"&amp;MAX(E12:E16)</f>
        <v>545~565</v>
      </c>
      <c r="O12" s="43" t="str">
        <f>MIN(H12:H12)&amp;"~"&amp;MAX(H12:H16)</f>
        <v>41.8~42.42</v>
      </c>
      <c r="P12" s="43" t="str">
        <f>MIN(I12:I16)&amp;"~"&amp;MAX(I12:I16)</f>
        <v>13.04~13.32</v>
      </c>
      <c r="Q12" s="43" t="s">
        <v>36</v>
      </c>
      <c r="R12" s="52" t="s">
        <v>29</v>
      </c>
    </row>
    <row r="13" customHeight="1" spans="2:20">
      <c r="B13" s="19"/>
      <c r="C13" s="23"/>
      <c r="D13" s="24" t="s">
        <v>37</v>
      </c>
      <c r="E13" s="2">
        <v>550</v>
      </c>
      <c r="F13" s="25">
        <v>49.8</v>
      </c>
      <c r="G13" s="25">
        <v>13.98</v>
      </c>
      <c r="H13" s="25">
        <v>41.95</v>
      </c>
      <c r="I13" s="25">
        <v>13.12</v>
      </c>
      <c r="J13" s="42"/>
      <c r="K13" s="42"/>
      <c r="L13" s="32">
        <f>CEILING(550/F13,1)</f>
        <v>12</v>
      </c>
      <c r="M13" s="43">
        <f t="shared" si="0"/>
        <v>2.2</v>
      </c>
      <c r="N13" s="43"/>
      <c r="O13" s="43"/>
      <c r="P13" s="43"/>
      <c r="Q13" s="43"/>
      <c r="R13" s="52"/>
      <c r="S13" s="53"/>
      <c r="T13" s="53"/>
    </row>
    <row r="14" customHeight="1" spans="2:18">
      <c r="B14" s="19"/>
      <c r="C14" s="23"/>
      <c r="D14" s="24" t="s">
        <v>38</v>
      </c>
      <c r="E14" s="26">
        <v>555</v>
      </c>
      <c r="F14" s="25">
        <v>49.95</v>
      </c>
      <c r="G14" s="25">
        <v>14.04</v>
      </c>
      <c r="H14" s="25">
        <v>42.1</v>
      </c>
      <c r="I14" s="25">
        <v>13.19</v>
      </c>
      <c r="J14" s="42"/>
      <c r="K14" s="42"/>
      <c r="L14" s="32">
        <f>CEILING(550/F14,1)</f>
        <v>12</v>
      </c>
      <c r="M14" s="43">
        <f t="shared" si="0"/>
        <v>2.22</v>
      </c>
      <c r="N14" s="43"/>
      <c r="O14" s="43"/>
      <c r="P14" s="43"/>
      <c r="Q14" s="43"/>
      <c r="R14" s="52"/>
    </row>
    <row r="15" ht="42" customHeight="1" spans="2:18">
      <c r="B15" s="19"/>
      <c r="C15" s="23"/>
      <c r="D15" s="24" t="s">
        <v>39</v>
      </c>
      <c r="E15" s="2">
        <v>560</v>
      </c>
      <c r="F15" s="25">
        <v>50.1</v>
      </c>
      <c r="G15" s="25">
        <v>14.1</v>
      </c>
      <c r="H15" s="25">
        <v>42.25</v>
      </c>
      <c r="I15" s="25">
        <v>13.26</v>
      </c>
      <c r="J15" s="42"/>
      <c r="K15" s="42"/>
      <c r="L15" s="32">
        <f>CEILING(550/F15,1)</f>
        <v>11</v>
      </c>
      <c r="M15" s="43">
        <f t="shared" si="0"/>
        <v>2.05333333333333</v>
      </c>
      <c r="N15" s="43"/>
      <c r="O15" s="43"/>
      <c r="P15" s="43"/>
      <c r="Q15" s="43"/>
      <c r="R15" s="52"/>
    </row>
    <row r="16" customHeight="1" spans="2:18">
      <c r="B16" s="19"/>
      <c r="C16" s="23"/>
      <c r="D16" s="24" t="s">
        <v>40</v>
      </c>
      <c r="E16" s="2">
        <v>565</v>
      </c>
      <c r="F16" s="25">
        <v>50.3</v>
      </c>
      <c r="G16" s="25">
        <v>14.16</v>
      </c>
      <c r="H16" s="25">
        <v>42.42</v>
      </c>
      <c r="I16" s="25">
        <v>13.32</v>
      </c>
      <c r="J16" s="42"/>
      <c r="K16" s="42"/>
      <c r="L16" s="32">
        <f>CEILING(550/F16,1)</f>
        <v>11</v>
      </c>
      <c r="M16" s="43">
        <f t="shared" si="0"/>
        <v>2.07166666666667</v>
      </c>
      <c r="N16" s="43"/>
      <c r="O16" s="43"/>
      <c r="P16" s="43"/>
      <c r="Q16" s="43"/>
      <c r="R16" s="52"/>
    </row>
    <row r="17" customHeight="1" spans="2:18">
      <c r="B17" s="19"/>
      <c r="C17" s="4" t="s">
        <v>41</v>
      </c>
      <c r="D17" s="4" t="s">
        <v>42</v>
      </c>
      <c r="E17" s="2">
        <v>405</v>
      </c>
      <c r="F17" s="27">
        <v>37</v>
      </c>
      <c r="G17" s="27">
        <v>13.83</v>
      </c>
      <c r="H17" s="27">
        <v>31</v>
      </c>
      <c r="I17" s="27">
        <v>13.07</v>
      </c>
      <c r="J17" s="41" t="str">
        <f>MIN(F17:F21)&amp;"~"&amp;MAX(F17:F21)</f>
        <v>37~37.96</v>
      </c>
      <c r="K17" s="41" t="str">
        <f>MIN(G17:G21)&amp;"~"&amp;MAX(G17:G21)</f>
        <v>13.83~14.08</v>
      </c>
      <c r="L17" s="30">
        <f>CEILING(550/F17,1)</f>
        <v>15</v>
      </c>
      <c r="M17" s="41">
        <f t="shared" si="0"/>
        <v>2.025</v>
      </c>
      <c r="N17" s="41" t="str">
        <f>MIN(E17:E21)&amp;"~"&amp;MAX(E17:E21)</f>
        <v>405~425</v>
      </c>
      <c r="O17" s="4" t="str">
        <f t="shared" ref="O17:Q17" si="1">MIN(H17:H21)&amp;"~"&amp;MAX(H17:H21)</f>
        <v>31~31.94</v>
      </c>
      <c r="P17" s="4" t="str">
        <f t="shared" si="1"/>
        <v>13.07~13.31</v>
      </c>
      <c r="Q17" s="4" t="s">
        <v>43</v>
      </c>
      <c r="R17" s="54" t="s">
        <v>29</v>
      </c>
    </row>
    <row r="18" customHeight="1" spans="2:18">
      <c r="B18" s="19"/>
      <c r="C18" s="4"/>
      <c r="D18" s="4" t="s">
        <v>44</v>
      </c>
      <c r="E18" s="2">
        <v>410</v>
      </c>
      <c r="F18" s="27">
        <v>37.25</v>
      </c>
      <c r="G18" s="27">
        <v>13.88</v>
      </c>
      <c r="H18" s="27">
        <v>31.25</v>
      </c>
      <c r="I18" s="27">
        <v>13.12</v>
      </c>
      <c r="J18" s="41"/>
      <c r="K18" s="41"/>
      <c r="L18" s="30">
        <f t="shared" ref="L18:L40" si="2">CEILING(550/F18,1)</f>
        <v>15</v>
      </c>
      <c r="M18" s="41">
        <f t="shared" si="0"/>
        <v>2.05</v>
      </c>
      <c r="N18" s="41"/>
      <c r="O18" s="4"/>
      <c r="P18" s="4"/>
      <c r="Q18" s="4"/>
      <c r="R18" s="54"/>
    </row>
    <row r="19" customHeight="1" spans="2:18">
      <c r="B19" s="19"/>
      <c r="C19" s="4"/>
      <c r="D19" s="4" t="s">
        <v>45</v>
      </c>
      <c r="E19" s="2">
        <v>415</v>
      </c>
      <c r="F19" s="27">
        <v>37.5</v>
      </c>
      <c r="G19" s="27">
        <v>13.94</v>
      </c>
      <c r="H19" s="27">
        <v>31.49</v>
      </c>
      <c r="I19" s="27">
        <v>13.18</v>
      </c>
      <c r="J19" s="41"/>
      <c r="K19" s="41"/>
      <c r="L19" s="30">
        <f t="shared" si="2"/>
        <v>15</v>
      </c>
      <c r="M19" s="41">
        <f t="shared" si="0"/>
        <v>2.075</v>
      </c>
      <c r="N19" s="41"/>
      <c r="O19" s="4"/>
      <c r="P19" s="4"/>
      <c r="Q19" s="4"/>
      <c r="R19" s="54"/>
    </row>
    <row r="20" customHeight="1" spans="2:18">
      <c r="B20" s="19"/>
      <c r="C20" s="4"/>
      <c r="D20" s="4" t="s">
        <v>46</v>
      </c>
      <c r="E20" s="2">
        <v>420</v>
      </c>
      <c r="F20" s="27">
        <v>37.75</v>
      </c>
      <c r="G20" s="27">
        <v>14.01</v>
      </c>
      <c r="H20" s="27">
        <v>31.73</v>
      </c>
      <c r="I20" s="27">
        <v>13.24</v>
      </c>
      <c r="J20" s="41"/>
      <c r="K20" s="41"/>
      <c r="L20" s="30">
        <f t="shared" si="2"/>
        <v>15</v>
      </c>
      <c r="M20" s="41">
        <f t="shared" si="0"/>
        <v>2.1</v>
      </c>
      <c r="N20" s="41"/>
      <c r="O20" s="4"/>
      <c r="P20" s="4"/>
      <c r="Q20" s="4"/>
      <c r="R20" s="54"/>
    </row>
    <row r="21" customHeight="1" spans="2:18">
      <c r="B21" s="19"/>
      <c r="C21" s="4"/>
      <c r="D21" s="4" t="s">
        <v>47</v>
      </c>
      <c r="E21" s="2">
        <v>425</v>
      </c>
      <c r="F21" s="27">
        <v>37.96</v>
      </c>
      <c r="G21" s="27">
        <v>14.08</v>
      </c>
      <c r="H21" s="27">
        <v>31.94</v>
      </c>
      <c r="I21" s="27">
        <v>13.31</v>
      </c>
      <c r="J21" s="41"/>
      <c r="K21" s="41"/>
      <c r="L21" s="30">
        <f t="shared" si="2"/>
        <v>15</v>
      </c>
      <c r="M21" s="41">
        <f t="shared" si="0"/>
        <v>2.125</v>
      </c>
      <c r="N21" s="41"/>
      <c r="O21" s="4"/>
      <c r="P21" s="4"/>
      <c r="Q21" s="4"/>
      <c r="R21" s="54"/>
    </row>
    <row r="22" customHeight="1" spans="2:18">
      <c r="B22" s="19"/>
      <c r="C22" s="23" t="s">
        <v>48</v>
      </c>
      <c r="D22" s="24" t="s">
        <v>49</v>
      </c>
      <c r="E22" s="2">
        <v>585</v>
      </c>
      <c r="F22" s="24">
        <v>52.01</v>
      </c>
      <c r="G22" s="24">
        <v>14.29</v>
      </c>
      <c r="H22" s="24">
        <v>43.57</v>
      </c>
      <c r="I22" s="24">
        <v>13.43</v>
      </c>
      <c r="J22" s="23" t="str">
        <f>MIN(F22:F29)&amp;"~"&amp;MAX(F22:F29)</f>
        <v>52.01~52.77</v>
      </c>
      <c r="K22" s="23" t="str">
        <f>MIN(G22:G29)&amp;"~"&amp;MAX(G22:G29)</f>
        <v>14.29~14.85</v>
      </c>
      <c r="L22" s="32">
        <f t="shared" si="2"/>
        <v>11</v>
      </c>
      <c r="M22" s="43">
        <f t="shared" si="0"/>
        <v>2.145</v>
      </c>
      <c r="N22" s="42" t="str">
        <f>MIN(E22:E29)&amp;"~"&amp;MAX(E22:E29)</f>
        <v>585~620</v>
      </c>
      <c r="O22" s="23" t="str">
        <f t="shared" ref="O22:Q22" si="3">MIN(H22:H29)&amp;"~"&amp;MAX(H22:H29)</f>
        <v>43.57~44.33</v>
      </c>
      <c r="P22" s="23" t="str">
        <f t="shared" si="3"/>
        <v>13.43~13.99</v>
      </c>
      <c r="Q22" s="23" t="s">
        <v>50</v>
      </c>
      <c r="R22" s="55" t="s">
        <v>51</v>
      </c>
    </row>
    <row r="23" customHeight="1" spans="2:18">
      <c r="B23" s="19"/>
      <c r="C23" s="23"/>
      <c r="D23" s="24" t="s">
        <v>52</v>
      </c>
      <c r="E23" s="2">
        <v>590</v>
      </c>
      <c r="F23" s="24">
        <v>52.12</v>
      </c>
      <c r="G23" s="24">
        <v>14.37</v>
      </c>
      <c r="H23" s="24">
        <v>43.68</v>
      </c>
      <c r="I23" s="24">
        <v>13.51</v>
      </c>
      <c r="J23" s="23"/>
      <c r="K23" s="23"/>
      <c r="L23" s="32">
        <f t="shared" si="2"/>
        <v>11</v>
      </c>
      <c r="M23" s="43">
        <f t="shared" si="0"/>
        <v>2.16333333333333</v>
      </c>
      <c r="N23" s="42"/>
      <c r="O23" s="23"/>
      <c r="P23" s="23"/>
      <c r="Q23" s="23"/>
      <c r="R23" s="55"/>
    </row>
    <row r="24" customHeight="1" spans="2:18">
      <c r="B24" s="19"/>
      <c r="C24" s="23"/>
      <c r="D24" s="24" t="s">
        <v>53</v>
      </c>
      <c r="E24" s="2">
        <v>595</v>
      </c>
      <c r="F24" s="24">
        <v>52.23</v>
      </c>
      <c r="G24" s="28">
        <v>14.45</v>
      </c>
      <c r="H24" s="24">
        <v>43.79</v>
      </c>
      <c r="I24" s="28">
        <v>13.59</v>
      </c>
      <c r="J24" s="23"/>
      <c r="K24" s="23"/>
      <c r="L24" s="32">
        <f t="shared" si="2"/>
        <v>11</v>
      </c>
      <c r="M24" s="43">
        <f t="shared" si="0"/>
        <v>2.18166666666667</v>
      </c>
      <c r="N24" s="42"/>
      <c r="O24" s="23"/>
      <c r="P24" s="23"/>
      <c r="Q24" s="23"/>
      <c r="R24" s="55"/>
    </row>
    <row r="25" customHeight="1" spans="2:18">
      <c r="B25" s="19"/>
      <c r="C25" s="23"/>
      <c r="D25" s="24" t="s">
        <v>54</v>
      </c>
      <c r="E25" s="2">
        <v>600</v>
      </c>
      <c r="F25" s="24">
        <v>52.34</v>
      </c>
      <c r="G25" s="24">
        <v>14.53</v>
      </c>
      <c r="H25" s="24">
        <v>43.9</v>
      </c>
      <c r="I25" s="24">
        <v>13.67</v>
      </c>
      <c r="J25" s="23"/>
      <c r="K25" s="23"/>
      <c r="L25" s="32">
        <f t="shared" si="2"/>
        <v>11</v>
      </c>
      <c r="M25" s="43">
        <f t="shared" si="0"/>
        <v>2.2</v>
      </c>
      <c r="N25" s="42"/>
      <c r="O25" s="23"/>
      <c r="P25" s="23"/>
      <c r="Q25" s="23"/>
      <c r="R25" s="55"/>
    </row>
    <row r="26" customHeight="1" spans="2:18">
      <c r="B26" s="19"/>
      <c r="C26" s="23"/>
      <c r="D26" s="24" t="s">
        <v>55</v>
      </c>
      <c r="E26" s="2">
        <v>605</v>
      </c>
      <c r="F26" s="24">
        <v>52.44</v>
      </c>
      <c r="G26" s="24">
        <v>14.61</v>
      </c>
      <c r="H26" s="24">
        <v>44</v>
      </c>
      <c r="I26" s="24">
        <v>13.75</v>
      </c>
      <c r="J26" s="23"/>
      <c r="K26" s="23"/>
      <c r="L26" s="32">
        <f t="shared" si="2"/>
        <v>11</v>
      </c>
      <c r="M26" s="43">
        <f t="shared" si="0"/>
        <v>2.21833333333333</v>
      </c>
      <c r="N26" s="42"/>
      <c r="O26" s="23"/>
      <c r="P26" s="23"/>
      <c r="Q26" s="23"/>
      <c r="R26" s="55"/>
    </row>
    <row r="27" customHeight="1" spans="2:18">
      <c r="B27" s="19"/>
      <c r="C27" s="23"/>
      <c r="D27" s="24" t="s">
        <v>56</v>
      </c>
      <c r="E27" s="2">
        <v>610</v>
      </c>
      <c r="F27" s="24">
        <v>52.55</v>
      </c>
      <c r="G27" s="24">
        <v>14.69</v>
      </c>
      <c r="H27" s="24">
        <v>44.11</v>
      </c>
      <c r="I27" s="24">
        <v>13.83</v>
      </c>
      <c r="J27" s="23"/>
      <c r="K27" s="23"/>
      <c r="L27" s="32">
        <f t="shared" si="2"/>
        <v>11</v>
      </c>
      <c r="M27" s="43">
        <f t="shared" si="0"/>
        <v>2.23666666666667</v>
      </c>
      <c r="N27" s="42"/>
      <c r="O27" s="23"/>
      <c r="P27" s="23"/>
      <c r="Q27" s="23"/>
      <c r="R27" s="55"/>
    </row>
    <row r="28" customHeight="1" spans="2:18">
      <c r="B28" s="19"/>
      <c r="C28" s="23"/>
      <c r="D28" s="24" t="s">
        <v>57</v>
      </c>
      <c r="E28" s="2">
        <v>615</v>
      </c>
      <c r="F28" s="24">
        <v>52.66</v>
      </c>
      <c r="G28" s="24">
        <v>14.77</v>
      </c>
      <c r="H28" s="24">
        <v>44.22</v>
      </c>
      <c r="I28" s="24">
        <v>13.91</v>
      </c>
      <c r="J28" s="23"/>
      <c r="K28" s="23"/>
      <c r="L28" s="32">
        <f t="shared" si="2"/>
        <v>11</v>
      </c>
      <c r="M28" s="43">
        <f t="shared" si="0"/>
        <v>2.255</v>
      </c>
      <c r="N28" s="42"/>
      <c r="O28" s="23"/>
      <c r="P28" s="23"/>
      <c r="Q28" s="23"/>
      <c r="R28" s="55"/>
    </row>
    <row r="29" customHeight="1" spans="2:18">
      <c r="B29" s="19"/>
      <c r="C29" s="23"/>
      <c r="D29" s="24" t="s">
        <v>57</v>
      </c>
      <c r="E29" s="2">
        <v>620</v>
      </c>
      <c r="F29" s="24">
        <v>52.77</v>
      </c>
      <c r="G29" s="28">
        <v>14.85</v>
      </c>
      <c r="H29" s="24">
        <v>44.33</v>
      </c>
      <c r="I29" s="28">
        <v>13.99</v>
      </c>
      <c r="J29" s="23"/>
      <c r="K29" s="23"/>
      <c r="L29" s="32">
        <f t="shared" si="2"/>
        <v>11</v>
      </c>
      <c r="M29" s="43">
        <f t="shared" si="0"/>
        <v>2.27333333333333</v>
      </c>
      <c r="N29" s="42"/>
      <c r="O29" s="23"/>
      <c r="P29" s="23"/>
      <c r="Q29" s="23"/>
      <c r="R29" s="55"/>
    </row>
    <row r="30" customHeight="1" spans="2:18">
      <c r="B30" s="19"/>
      <c r="C30" s="29" t="s">
        <v>58</v>
      </c>
      <c r="D30" s="4" t="s">
        <v>59</v>
      </c>
      <c r="E30" s="2">
        <v>560</v>
      </c>
      <c r="F30" s="4">
        <v>51.7</v>
      </c>
      <c r="G30" s="4">
        <v>13.87</v>
      </c>
      <c r="H30" s="4">
        <v>43.25</v>
      </c>
      <c r="I30" s="4">
        <v>12.95</v>
      </c>
      <c r="J30" s="4" t="str">
        <f>MIN(F30:F35)&amp;"~"&amp;MAX(F30:F35)</f>
        <v>51.7~52.45</v>
      </c>
      <c r="K30" s="4" t="str">
        <f>MIN(G30:G35)&amp;"~"&amp;MAX(G30:G35)</f>
        <v>13.87~14.19</v>
      </c>
      <c r="L30" s="30">
        <f t="shared" si="2"/>
        <v>11</v>
      </c>
      <c r="M30" s="41">
        <f t="shared" si="0"/>
        <v>2.05333333333333</v>
      </c>
      <c r="N30" s="41" t="str">
        <f>MIN(E30:E35)&amp;"~"&amp;MAX(E30:E35)</f>
        <v>560~585</v>
      </c>
      <c r="O30" s="4" t="str">
        <f>MIN(H30:H35)&amp;"~"&amp;MAX(H30:H35)</f>
        <v>43.25~44</v>
      </c>
      <c r="P30" s="4" t="str">
        <f>MIN(I30:I35)&amp;"~"&amp;MAX(I30:I35)</f>
        <v>12.95~13.3</v>
      </c>
      <c r="Q30" s="4" t="s">
        <v>28</v>
      </c>
      <c r="R30" s="54" t="s">
        <v>51</v>
      </c>
    </row>
    <row r="31" customHeight="1" spans="2:18">
      <c r="B31" s="19"/>
      <c r="C31" s="30" t="s">
        <v>60</v>
      </c>
      <c r="D31" s="4" t="s">
        <v>61</v>
      </c>
      <c r="E31" s="2">
        <v>565</v>
      </c>
      <c r="F31" s="4">
        <v>51.85</v>
      </c>
      <c r="G31" s="4">
        <v>13.93</v>
      </c>
      <c r="H31" s="4">
        <v>43.4</v>
      </c>
      <c r="I31" s="4">
        <v>13.02</v>
      </c>
      <c r="J31" s="4"/>
      <c r="K31" s="4"/>
      <c r="L31" s="30">
        <f t="shared" si="2"/>
        <v>11</v>
      </c>
      <c r="M31" s="41">
        <f t="shared" si="0"/>
        <v>2.07166666666667</v>
      </c>
      <c r="N31" s="41"/>
      <c r="O31" s="4"/>
      <c r="P31" s="4"/>
      <c r="Q31" s="4"/>
      <c r="R31" s="54"/>
    </row>
    <row r="32" customHeight="1" spans="2:18">
      <c r="B32" s="19"/>
      <c r="C32" s="31"/>
      <c r="D32" s="4" t="s">
        <v>62</v>
      </c>
      <c r="E32" s="2">
        <v>570</v>
      </c>
      <c r="F32" s="4">
        <v>52</v>
      </c>
      <c r="G32" s="4">
        <v>14</v>
      </c>
      <c r="H32" s="4">
        <v>43.55</v>
      </c>
      <c r="I32" s="4">
        <v>13.09</v>
      </c>
      <c r="J32" s="4"/>
      <c r="K32" s="4"/>
      <c r="L32" s="30">
        <f t="shared" si="2"/>
        <v>11</v>
      </c>
      <c r="M32" s="41">
        <f t="shared" si="0"/>
        <v>2.09</v>
      </c>
      <c r="N32" s="41"/>
      <c r="O32" s="4"/>
      <c r="P32" s="4"/>
      <c r="Q32" s="4"/>
      <c r="R32" s="54"/>
    </row>
    <row r="33" customHeight="1" spans="2:18">
      <c r="B33" s="19"/>
      <c r="C33" s="31"/>
      <c r="D33" s="4" t="s">
        <v>63</v>
      </c>
      <c r="E33" s="2">
        <v>575</v>
      </c>
      <c r="F33" s="4">
        <v>52.15</v>
      </c>
      <c r="G33" s="4">
        <v>14.06</v>
      </c>
      <c r="H33" s="4">
        <v>43.7</v>
      </c>
      <c r="I33" s="4">
        <v>13.16</v>
      </c>
      <c r="J33" s="4"/>
      <c r="K33" s="4"/>
      <c r="L33" s="30">
        <f t="shared" si="2"/>
        <v>11</v>
      </c>
      <c r="M33" s="41">
        <f t="shared" si="0"/>
        <v>2.10833333333333</v>
      </c>
      <c r="N33" s="41"/>
      <c r="O33" s="4"/>
      <c r="P33" s="4"/>
      <c r="Q33" s="4"/>
      <c r="R33" s="54"/>
    </row>
    <row r="34" customHeight="1" spans="2:18">
      <c r="B34" s="19"/>
      <c r="C34" s="31"/>
      <c r="D34" s="4" t="s">
        <v>64</v>
      </c>
      <c r="E34" s="2">
        <v>580</v>
      </c>
      <c r="F34" s="4">
        <v>52.3</v>
      </c>
      <c r="G34" s="4">
        <v>14.13</v>
      </c>
      <c r="H34" s="4">
        <v>43.85</v>
      </c>
      <c r="I34" s="4">
        <v>13.23</v>
      </c>
      <c r="J34" s="4"/>
      <c r="K34" s="4"/>
      <c r="L34" s="30">
        <f t="shared" si="2"/>
        <v>11</v>
      </c>
      <c r="M34" s="41">
        <f t="shared" si="0"/>
        <v>2.12666666666667</v>
      </c>
      <c r="N34" s="41"/>
      <c r="O34" s="4"/>
      <c r="P34" s="4"/>
      <c r="Q34" s="4"/>
      <c r="R34" s="54"/>
    </row>
    <row r="35" customHeight="1" spans="2:18">
      <c r="B35" s="19"/>
      <c r="C35" s="31"/>
      <c r="D35" s="4" t="s">
        <v>65</v>
      </c>
      <c r="E35" s="2">
        <v>585</v>
      </c>
      <c r="F35" s="4">
        <v>52.45</v>
      </c>
      <c r="G35" s="4">
        <v>14.19</v>
      </c>
      <c r="H35" s="4">
        <v>44</v>
      </c>
      <c r="I35" s="4">
        <v>13.3</v>
      </c>
      <c r="J35" s="4"/>
      <c r="K35" s="4"/>
      <c r="L35" s="30">
        <f t="shared" si="2"/>
        <v>11</v>
      </c>
      <c r="M35" s="41">
        <f t="shared" si="0"/>
        <v>2.145</v>
      </c>
      <c r="N35" s="41"/>
      <c r="O35" s="4"/>
      <c r="P35" s="4"/>
      <c r="Q35" s="4"/>
      <c r="R35" s="54"/>
    </row>
    <row r="36" customHeight="1" spans="2:18">
      <c r="B36" s="19"/>
      <c r="C36" s="32" t="s">
        <v>66</v>
      </c>
      <c r="D36" s="33" t="s">
        <v>67</v>
      </c>
      <c r="E36" s="2">
        <v>520</v>
      </c>
      <c r="F36" s="33">
        <v>48.27</v>
      </c>
      <c r="G36" s="33">
        <v>13.84</v>
      </c>
      <c r="H36" s="33">
        <v>39.91</v>
      </c>
      <c r="I36" s="33">
        <v>13.03</v>
      </c>
      <c r="J36" s="33" t="str">
        <f>MIN(F36:F40)&amp;" ~ "&amp;MAX(F36:F40)</f>
        <v>48.27 ~ 48.87</v>
      </c>
      <c r="K36" s="33" t="str">
        <f>MIN(G36:G40)&amp;" ~ "&amp;MAX(G36:G40)</f>
        <v>13.84 ~ 14.15</v>
      </c>
      <c r="L36" s="32">
        <f t="shared" si="2"/>
        <v>12</v>
      </c>
      <c r="M36" s="43">
        <f>(E36*L36*2)/6000</f>
        <v>2.08</v>
      </c>
      <c r="N36" s="33" t="str">
        <f>MIN(E30:E35)&amp;"~"&amp;MAX(E30:E35)</f>
        <v>560~585</v>
      </c>
      <c r="O36" s="33" t="str">
        <f>MIN(H36:H40)&amp;"~"&amp;MAX(H36:H40)</f>
        <v>39.91~40.53</v>
      </c>
      <c r="P36" s="33" t="str">
        <f>MIN(I36:I40)&amp;"~"&amp;MAX(I36:I40)</f>
        <v>13.03~13.33</v>
      </c>
      <c r="Q36" s="33" t="s">
        <v>68</v>
      </c>
      <c r="R36" s="52" t="s">
        <v>69</v>
      </c>
    </row>
    <row r="37" customHeight="1" spans="2:18">
      <c r="B37" s="19"/>
      <c r="C37" s="33"/>
      <c r="D37" s="33" t="s">
        <v>70</v>
      </c>
      <c r="E37" s="2">
        <v>525</v>
      </c>
      <c r="F37" s="33">
        <v>48.42</v>
      </c>
      <c r="G37" s="33">
        <v>13.93</v>
      </c>
      <c r="H37" s="33">
        <v>40.06</v>
      </c>
      <c r="I37" s="33">
        <v>13.11</v>
      </c>
      <c r="J37" s="33"/>
      <c r="K37" s="33"/>
      <c r="L37" s="32">
        <f t="shared" si="2"/>
        <v>12</v>
      </c>
      <c r="M37" s="43">
        <f>(E37*L37*2)/6000</f>
        <v>2.1</v>
      </c>
      <c r="N37" s="33"/>
      <c r="O37" s="33"/>
      <c r="P37" s="33"/>
      <c r="Q37" s="33"/>
      <c r="R37" s="52"/>
    </row>
    <row r="38" customHeight="1" spans="2:18">
      <c r="B38" s="19"/>
      <c r="C38" s="33"/>
      <c r="D38" s="33" t="s">
        <v>71</v>
      </c>
      <c r="E38" s="2">
        <v>530</v>
      </c>
      <c r="F38" s="33">
        <v>48.57</v>
      </c>
      <c r="G38" s="33">
        <v>14</v>
      </c>
      <c r="H38" s="33">
        <v>40.22</v>
      </c>
      <c r="I38" s="33">
        <v>13.18</v>
      </c>
      <c r="J38" s="33"/>
      <c r="K38" s="33"/>
      <c r="L38" s="32">
        <f t="shared" si="2"/>
        <v>12</v>
      </c>
      <c r="M38" s="43">
        <f>(E38*L38*2)/6000</f>
        <v>2.12</v>
      </c>
      <c r="N38" s="33"/>
      <c r="O38" s="33"/>
      <c r="P38" s="33"/>
      <c r="Q38" s="33"/>
      <c r="R38" s="52"/>
    </row>
    <row r="39" customHeight="1" spans="2:19">
      <c r="B39" s="19"/>
      <c r="C39" s="33"/>
      <c r="D39" s="33" t="s">
        <v>72</v>
      </c>
      <c r="E39" s="2">
        <v>535</v>
      </c>
      <c r="F39" s="33">
        <v>48.72</v>
      </c>
      <c r="G39" s="33">
        <v>14.07</v>
      </c>
      <c r="H39" s="33">
        <v>40.38</v>
      </c>
      <c r="I39" s="33">
        <v>13.25</v>
      </c>
      <c r="J39" s="33"/>
      <c r="K39" s="33"/>
      <c r="L39" s="32">
        <f t="shared" si="2"/>
        <v>12</v>
      </c>
      <c r="M39" s="43">
        <f>(E39*L39*2)/6000</f>
        <v>2.14</v>
      </c>
      <c r="N39" s="33"/>
      <c r="O39" s="33"/>
      <c r="P39" s="33"/>
      <c r="Q39" s="33"/>
      <c r="R39" s="52"/>
      <c r="S39" s="7" t="s">
        <v>73</v>
      </c>
    </row>
    <row r="40" customHeight="1" spans="2:23">
      <c r="B40" s="19"/>
      <c r="C40" s="33"/>
      <c r="D40" s="33" t="s">
        <v>74</v>
      </c>
      <c r="E40" s="2">
        <v>540</v>
      </c>
      <c r="F40" s="33">
        <v>48.87</v>
      </c>
      <c r="G40" s="33">
        <v>14.15</v>
      </c>
      <c r="H40" s="33">
        <v>40.53</v>
      </c>
      <c r="I40" s="33">
        <v>13.33</v>
      </c>
      <c r="J40" s="33"/>
      <c r="K40" s="33"/>
      <c r="L40" s="32">
        <f t="shared" si="2"/>
        <v>12</v>
      </c>
      <c r="M40" s="43">
        <f>(E40*L40*2)/6000</f>
        <v>2.16</v>
      </c>
      <c r="N40" s="33"/>
      <c r="O40" s="33"/>
      <c r="P40" s="33"/>
      <c r="Q40" s="33"/>
      <c r="R40" s="52"/>
      <c r="S40" s="56"/>
      <c r="T40" s="56"/>
      <c r="U40" s="56"/>
      <c r="V40" s="56"/>
      <c r="W40" s="56"/>
    </row>
    <row r="41" customHeight="1" spans="2:23">
      <c r="B41" s="19"/>
      <c r="C41" s="34" t="s">
        <v>75</v>
      </c>
      <c r="D41" s="4" t="s">
        <v>76</v>
      </c>
      <c r="E41" s="2">
        <v>565</v>
      </c>
      <c r="F41" s="4">
        <v>51.76</v>
      </c>
      <c r="G41" s="4">
        <v>14.01</v>
      </c>
      <c r="H41" s="4">
        <v>43.61</v>
      </c>
      <c r="I41" s="4">
        <v>12.96</v>
      </c>
      <c r="J41" s="4" t="str">
        <f>MIN(F41:F45)&amp;" ~ "&amp;MAX(F41:F45)</f>
        <v>51.76 ~ 52.36</v>
      </c>
      <c r="K41" s="4" t="str">
        <f>MIN(G41:G45)&amp;" ~ "&amp;MAX(G41:G45)</f>
        <v>14.01 ~ 14.27</v>
      </c>
      <c r="L41" s="44">
        <f t="shared" ref="L41:L55" si="4">CEILING(550/F41,1)</f>
        <v>11</v>
      </c>
      <c r="M41" s="45">
        <f t="shared" ref="M41:M55" si="5">(E41*L41*2)/6000</f>
        <v>2.07166666666667</v>
      </c>
      <c r="N41" s="4" t="str">
        <f>MIN(E35:E40)&amp;"~"&amp;MAX(E35:E40)</f>
        <v>520~585</v>
      </c>
      <c r="O41" s="4" t="str">
        <f>MIN(H41:H45)&amp;"~"&amp;MAX(H41:H45)</f>
        <v>43.61~44.21</v>
      </c>
      <c r="P41" s="4" t="str">
        <f>MIN(I41:I45)&amp;"~"&amp;MAX(I41:I45)</f>
        <v>12.96~13.24</v>
      </c>
      <c r="Q41" s="4" t="s">
        <v>28</v>
      </c>
      <c r="R41" s="54" t="s">
        <v>51</v>
      </c>
      <c r="S41" s="56"/>
      <c r="T41" s="56"/>
      <c r="U41" s="56"/>
      <c r="V41" s="56"/>
      <c r="W41" s="56"/>
    </row>
    <row r="42" customHeight="1" spans="2:18">
      <c r="B42" s="19"/>
      <c r="C42" s="34"/>
      <c r="D42" s="4" t="s">
        <v>77</v>
      </c>
      <c r="E42" s="2">
        <v>570</v>
      </c>
      <c r="F42" s="4">
        <v>51.91</v>
      </c>
      <c r="G42" s="4">
        <v>14.07</v>
      </c>
      <c r="H42" s="4">
        <v>43.76</v>
      </c>
      <c r="I42" s="4">
        <v>13.03</v>
      </c>
      <c r="J42" s="4"/>
      <c r="K42" s="4"/>
      <c r="L42" s="44">
        <f t="shared" si="4"/>
        <v>11</v>
      </c>
      <c r="M42" s="45">
        <f t="shared" si="5"/>
        <v>2.09</v>
      </c>
      <c r="N42" s="4"/>
      <c r="O42" s="4"/>
      <c r="P42" s="4"/>
      <c r="Q42" s="4"/>
      <c r="R42" s="54"/>
    </row>
    <row r="43" customHeight="1" spans="2:18">
      <c r="B43" s="19"/>
      <c r="C43" s="34"/>
      <c r="D43" s="4" t="s">
        <v>78</v>
      </c>
      <c r="E43" s="2">
        <v>575</v>
      </c>
      <c r="F43" s="4">
        <v>52.06</v>
      </c>
      <c r="G43" s="4">
        <v>14.14</v>
      </c>
      <c r="H43" s="4">
        <v>43.91</v>
      </c>
      <c r="I43" s="4">
        <v>13.1</v>
      </c>
      <c r="J43" s="4"/>
      <c r="K43" s="4"/>
      <c r="L43" s="44">
        <f t="shared" si="4"/>
        <v>11</v>
      </c>
      <c r="M43" s="45">
        <f t="shared" si="5"/>
        <v>2.10833333333333</v>
      </c>
      <c r="N43" s="4"/>
      <c r="O43" s="4"/>
      <c r="P43" s="4"/>
      <c r="Q43" s="4"/>
      <c r="R43" s="54"/>
    </row>
    <row r="44" customHeight="1" spans="2:18">
      <c r="B44" s="19"/>
      <c r="C44" s="34"/>
      <c r="D44" s="4" t="s">
        <v>79</v>
      </c>
      <c r="E44" s="2">
        <v>580</v>
      </c>
      <c r="F44" s="4">
        <v>52.21</v>
      </c>
      <c r="G44" s="4">
        <v>14.2</v>
      </c>
      <c r="H44" s="4">
        <v>44.06</v>
      </c>
      <c r="I44" s="4">
        <v>13.17</v>
      </c>
      <c r="J44" s="4"/>
      <c r="K44" s="4"/>
      <c r="L44" s="44">
        <f t="shared" si="4"/>
        <v>11</v>
      </c>
      <c r="M44" s="45">
        <f t="shared" si="5"/>
        <v>2.12666666666667</v>
      </c>
      <c r="N44" s="4"/>
      <c r="O44" s="4"/>
      <c r="P44" s="4"/>
      <c r="Q44" s="4"/>
      <c r="R44" s="54"/>
    </row>
    <row r="45" customHeight="1" spans="2:18">
      <c r="B45" s="19"/>
      <c r="C45" s="34"/>
      <c r="D45" s="4" t="s">
        <v>80</v>
      </c>
      <c r="E45" s="2">
        <v>585</v>
      </c>
      <c r="F45" s="4">
        <v>52.36</v>
      </c>
      <c r="G45" s="4">
        <v>14.27</v>
      </c>
      <c r="H45" s="4">
        <v>44.21</v>
      </c>
      <c r="I45" s="4">
        <v>13.24</v>
      </c>
      <c r="J45" s="4"/>
      <c r="K45" s="4"/>
      <c r="L45" s="44">
        <f t="shared" si="4"/>
        <v>11</v>
      </c>
      <c r="M45" s="45">
        <f t="shared" si="5"/>
        <v>2.145</v>
      </c>
      <c r="N45" s="4"/>
      <c r="O45" s="4"/>
      <c r="P45" s="4"/>
      <c r="Q45" s="4"/>
      <c r="R45" s="54"/>
    </row>
    <row r="46" customHeight="1" spans="2:18">
      <c r="B46" s="19"/>
      <c r="C46" s="32" t="s">
        <v>81</v>
      </c>
      <c r="D46" s="35" t="s">
        <v>82</v>
      </c>
      <c r="E46" s="2">
        <v>420</v>
      </c>
      <c r="F46" s="36">
        <v>38.73</v>
      </c>
      <c r="G46" s="36">
        <v>14</v>
      </c>
      <c r="H46" s="36">
        <v>32.44</v>
      </c>
      <c r="I46" s="36">
        <v>12.95</v>
      </c>
      <c r="J46" s="33" t="str">
        <f>MIN(F46:F50)&amp;" ~ "&amp;MAX(F46:F50)</f>
        <v>38.73 ~ 39.53</v>
      </c>
      <c r="K46" s="33" t="str">
        <f>MIN(G46:G50)&amp;" ~ "&amp;MAX(G46:G50)</f>
        <v>14 ~ 14.3</v>
      </c>
      <c r="L46" s="32">
        <f t="shared" si="4"/>
        <v>15</v>
      </c>
      <c r="M46" s="43">
        <f t="shared" si="5"/>
        <v>2.1</v>
      </c>
      <c r="N46" s="33" t="str">
        <f>MIN(E40:E45)&amp;"~"&amp;MAX(E40:E45)</f>
        <v>540~585</v>
      </c>
      <c r="O46" s="33" t="str">
        <f>MIN(H46:H50)&amp;"~"&amp;MAX(H46:H50)</f>
        <v>32.44~33.24</v>
      </c>
      <c r="P46" s="33" t="str">
        <f>MIN(I46:I50)&amp;"~"&amp;MAX(I46:I50)</f>
        <v>12.95~13.24</v>
      </c>
      <c r="Q46" s="33" t="s">
        <v>43</v>
      </c>
      <c r="R46" s="33" t="s">
        <v>51</v>
      </c>
    </row>
    <row r="47" customHeight="1" spans="2:18">
      <c r="B47" s="19"/>
      <c r="C47" s="33"/>
      <c r="D47" s="35" t="s">
        <v>83</v>
      </c>
      <c r="E47" s="2">
        <v>425</v>
      </c>
      <c r="F47" s="37">
        <v>38.93</v>
      </c>
      <c r="G47" s="37">
        <v>14.07</v>
      </c>
      <c r="H47" s="37">
        <v>32.64</v>
      </c>
      <c r="I47" s="37">
        <v>13.03</v>
      </c>
      <c r="J47" s="33"/>
      <c r="K47" s="33"/>
      <c r="L47" s="32">
        <f t="shared" si="4"/>
        <v>15</v>
      </c>
      <c r="M47" s="43">
        <f t="shared" si="5"/>
        <v>2.125</v>
      </c>
      <c r="N47" s="33"/>
      <c r="O47" s="33"/>
      <c r="P47" s="33"/>
      <c r="Q47" s="33"/>
      <c r="R47" s="33"/>
    </row>
    <row r="48" customHeight="1" spans="2:18">
      <c r="B48" s="19"/>
      <c r="C48" s="33"/>
      <c r="D48" s="35" t="s">
        <v>84</v>
      </c>
      <c r="E48" s="2">
        <v>430</v>
      </c>
      <c r="F48" s="37">
        <v>39.13</v>
      </c>
      <c r="G48" s="37">
        <v>14.15</v>
      </c>
      <c r="H48" s="37">
        <v>32.84</v>
      </c>
      <c r="I48" s="46">
        <v>13.1</v>
      </c>
      <c r="J48" s="33"/>
      <c r="K48" s="33"/>
      <c r="L48" s="32">
        <f t="shared" si="4"/>
        <v>15</v>
      </c>
      <c r="M48" s="43">
        <f t="shared" si="5"/>
        <v>2.15</v>
      </c>
      <c r="N48" s="33"/>
      <c r="O48" s="33"/>
      <c r="P48" s="33"/>
      <c r="Q48" s="33"/>
      <c r="R48" s="33"/>
    </row>
    <row r="49" customHeight="1" spans="2:18">
      <c r="B49" s="19"/>
      <c r="C49" s="33"/>
      <c r="D49" s="35" t="s">
        <v>85</v>
      </c>
      <c r="E49" s="2">
        <v>435</v>
      </c>
      <c r="F49" s="37">
        <v>39.33</v>
      </c>
      <c r="G49" s="37">
        <v>14.22</v>
      </c>
      <c r="H49" s="37">
        <v>33.04</v>
      </c>
      <c r="I49" s="37">
        <v>13.17</v>
      </c>
      <c r="J49" s="33"/>
      <c r="K49" s="33"/>
      <c r="L49" s="32">
        <f t="shared" si="4"/>
        <v>14</v>
      </c>
      <c r="M49" s="43">
        <f t="shared" si="5"/>
        <v>2.03</v>
      </c>
      <c r="N49" s="33"/>
      <c r="O49" s="33"/>
      <c r="P49" s="33"/>
      <c r="Q49" s="33"/>
      <c r="R49" s="33"/>
    </row>
    <row r="50" customHeight="1" spans="2:18">
      <c r="B50" s="19"/>
      <c r="C50" s="33"/>
      <c r="D50" s="35" t="s">
        <v>86</v>
      </c>
      <c r="E50" s="2">
        <v>440</v>
      </c>
      <c r="F50" s="37">
        <v>39.53</v>
      </c>
      <c r="G50" s="37">
        <v>14.3</v>
      </c>
      <c r="H50" s="37">
        <v>33.24</v>
      </c>
      <c r="I50" s="37">
        <v>13.24</v>
      </c>
      <c r="J50" s="33"/>
      <c r="K50" s="33"/>
      <c r="L50" s="32">
        <f t="shared" si="4"/>
        <v>14</v>
      </c>
      <c r="M50" s="43">
        <f t="shared" si="5"/>
        <v>2.05333333333333</v>
      </c>
      <c r="N50" s="33"/>
      <c r="O50" s="33"/>
      <c r="P50" s="33"/>
      <c r="Q50" s="33"/>
      <c r="R50" s="33"/>
    </row>
    <row r="51" customHeight="1" spans="1:18">
      <c r="A51"/>
      <c r="B51" s="19"/>
      <c r="C51" s="34" t="s">
        <v>87</v>
      </c>
      <c r="D51" s="4" t="s">
        <v>76</v>
      </c>
      <c r="E51" s="2">
        <v>565</v>
      </c>
      <c r="F51" s="4">
        <v>51.76</v>
      </c>
      <c r="G51" s="4">
        <v>14.01</v>
      </c>
      <c r="H51" s="4">
        <v>43.61</v>
      </c>
      <c r="I51" s="4">
        <v>12.96</v>
      </c>
      <c r="J51" s="47" t="str">
        <f>MIN(F51:F55)&amp;" ~ "&amp;MAX(F51:F55)</f>
        <v>51.76 ~ 52.36</v>
      </c>
      <c r="K51" s="47" t="str">
        <f>MIN(G51:G55)&amp;" ~ "&amp;MAX(G51:G55)</f>
        <v>14.01 ~ 14.27</v>
      </c>
      <c r="L51" s="44">
        <f t="shared" si="4"/>
        <v>11</v>
      </c>
      <c r="M51" s="45">
        <f t="shared" si="5"/>
        <v>2.07166666666667</v>
      </c>
      <c r="N51" s="4" t="str">
        <f>MIN(E45:E50)&amp;"~"&amp;MAX(E45:E50)</f>
        <v>420~585</v>
      </c>
      <c r="O51" s="4" t="str">
        <f>MIN(H51:H55)&amp;"~"&amp;MAX(H51:H55)</f>
        <v>43.61~44.21</v>
      </c>
      <c r="P51" s="4" t="str">
        <f>MIN(I51:I55)&amp;"~"&amp;MAX(I51:I55)</f>
        <v>12.96~13.24</v>
      </c>
      <c r="Q51" s="4" t="s">
        <v>36</v>
      </c>
      <c r="R51" s="54" t="s">
        <v>69</v>
      </c>
    </row>
    <row r="52" customHeight="1" spans="1:18">
      <c r="A52"/>
      <c r="B52" s="19"/>
      <c r="C52" s="4"/>
      <c r="D52" s="4" t="s">
        <v>77</v>
      </c>
      <c r="E52" s="2">
        <f>E51+5</f>
        <v>570</v>
      </c>
      <c r="F52" s="4">
        <v>51.91</v>
      </c>
      <c r="G52" s="4">
        <v>14.07</v>
      </c>
      <c r="H52" s="4">
        <v>43.76</v>
      </c>
      <c r="I52" s="4">
        <v>13.03</v>
      </c>
      <c r="J52" s="47"/>
      <c r="K52" s="47"/>
      <c r="L52" s="44">
        <f t="shared" si="4"/>
        <v>11</v>
      </c>
      <c r="M52" s="45">
        <f t="shared" si="5"/>
        <v>2.09</v>
      </c>
      <c r="N52" s="4"/>
      <c r="O52" s="4"/>
      <c r="P52" s="4"/>
      <c r="Q52" s="4"/>
      <c r="R52" s="54"/>
    </row>
    <row r="53" customHeight="1" spans="1:18">
      <c r="A53"/>
      <c r="B53" s="19"/>
      <c r="C53" s="4"/>
      <c r="D53" s="4" t="s">
        <v>78</v>
      </c>
      <c r="E53" s="2">
        <f>E52+5</f>
        <v>575</v>
      </c>
      <c r="F53" s="4">
        <v>52.06</v>
      </c>
      <c r="G53" s="4">
        <v>14.14</v>
      </c>
      <c r="H53" s="4">
        <v>43.91</v>
      </c>
      <c r="I53" s="4">
        <v>13.1</v>
      </c>
      <c r="J53" s="47"/>
      <c r="K53" s="47"/>
      <c r="L53" s="44">
        <f t="shared" si="4"/>
        <v>11</v>
      </c>
      <c r="M53" s="45">
        <f t="shared" si="5"/>
        <v>2.10833333333333</v>
      </c>
      <c r="N53" s="4"/>
      <c r="O53" s="4"/>
      <c r="P53" s="4"/>
      <c r="Q53" s="4"/>
      <c r="R53" s="54"/>
    </row>
    <row r="54" customHeight="1" spans="2:18">
      <c r="B54" s="19"/>
      <c r="C54" s="4"/>
      <c r="D54" s="4" t="s">
        <v>79</v>
      </c>
      <c r="E54" s="2">
        <f>E53+5</f>
        <v>580</v>
      </c>
      <c r="F54" s="4">
        <v>52.21</v>
      </c>
      <c r="G54" s="4">
        <v>14.2</v>
      </c>
      <c r="H54" s="4">
        <v>44.06</v>
      </c>
      <c r="I54" s="4">
        <v>13.17</v>
      </c>
      <c r="J54" s="47"/>
      <c r="K54" s="47"/>
      <c r="L54" s="44">
        <f t="shared" si="4"/>
        <v>11</v>
      </c>
      <c r="M54" s="45">
        <f t="shared" si="5"/>
        <v>2.12666666666667</v>
      </c>
      <c r="N54" s="4"/>
      <c r="O54" s="4"/>
      <c r="P54" s="4"/>
      <c r="Q54" s="4"/>
      <c r="R54" s="54"/>
    </row>
    <row r="55" customHeight="1" spans="2:18">
      <c r="B55" s="38"/>
      <c r="C55" s="39"/>
      <c r="D55" s="4" t="s">
        <v>80</v>
      </c>
      <c r="E55" s="2">
        <f>E54+5</f>
        <v>585</v>
      </c>
      <c r="F55" s="4">
        <v>52.36</v>
      </c>
      <c r="G55" s="4">
        <v>14.27</v>
      </c>
      <c r="H55" s="4">
        <v>44.21</v>
      </c>
      <c r="I55" s="4">
        <v>13.24</v>
      </c>
      <c r="J55" s="47"/>
      <c r="K55" s="47"/>
      <c r="L55" s="44">
        <f t="shared" si="4"/>
        <v>11</v>
      </c>
      <c r="M55" s="45">
        <f t="shared" si="5"/>
        <v>2.145</v>
      </c>
      <c r="N55" s="4"/>
      <c r="O55" s="4"/>
      <c r="P55" s="4"/>
      <c r="Q55" s="4"/>
      <c r="R55" s="54"/>
    </row>
    <row r="56" customHeight="1" spans="2:18">
      <c r="B56" s="19"/>
      <c r="C56" s="32" t="s">
        <v>88</v>
      </c>
      <c r="D56" s="33" t="s">
        <v>89</v>
      </c>
      <c r="E56" s="2">
        <v>415</v>
      </c>
      <c r="F56" s="33">
        <v>38.83</v>
      </c>
      <c r="G56" s="33">
        <v>13.78</v>
      </c>
      <c r="H56" s="33">
        <v>32.56</v>
      </c>
      <c r="I56" s="33">
        <v>12.75</v>
      </c>
      <c r="J56" s="33" t="str">
        <f>MIN(F56:F60)&amp;" ~ "&amp;MAX(F56:F60)</f>
        <v>38.83 ~ 39.63</v>
      </c>
      <c r="K56" s="33" t="str">
        <f>MIN(G56:G60)&amp;" ~ "&amp;MAX(G56:G60)</f>
        <v>13.78 ~ 14.08</v>
      </c>
      <c r="L56" s="32">
        <f>CEILING(550/F56,1)</f>
        <v>15</v>
      </c>
      <c r="M56" s="43">
        <f>(E56*L56*2)/6000</f>
        <v>2.075</v>
      </c>
      <c r="N56" s="33" t="str">
        <f>MIN(E50:E55)&amp;"~"&amp;MAX(E50:E55)</f>
        <v>440~585</v>
      </c>
      <c r="O56" s="33" t="str">
        <f>MIN(H56:H60)&amp;"~"&amp;MAX(H56:H60)</f>
        <v>32.56~33.36</v>
      </c>
      <c r="P56" s="33" t="str">
        <f>MIN(I56:I60)&amp;"~"&amp;MAX(I56:I60)</f>
        <v>12.75~13.05</v>
      </c>
      <c r="Q56" s="33" t="s">
        <v>43</v>
      </c>
      <c r="R56" s="52" t="s">
        <v>69</v>
      </c>
    </row>
    <row r="57" customHeight="1" spans="2:18">
      <c r="B57" s="19"/>
      <c r="C57" s="33"/>
      <c r="D57" s="33" t="s">
        <v>90</v>
      </c>
      <c r="E57" s="2">
        <f>E56+5</f>
        <v>420</v>
      </c>
      <c r="F57" s="33">
        <v>39.03</v>
      </c>
      <c r="G57" s="33">
        <v>13.85</v>
      </c>
      <c r="H57" s="33">
        <v>32.76</v>
      </c>
      <c r="I57" s="33">
        <v>12.83</v>
      </c>
      <c r="J57" s="33"/>
      <c r="K57" s="33"/>
      <c r="L57" s="32">
        <f>CEILING(550/F57,1)</f>
        <v>15</v>
      </c>
      <c r="M57" s="43">
        <f>(E57*L57*2)/6000</f>
        <v>2.1</v>
      </c>
      <c r="N57" s="33"/>
      <c r="O57" s="33"/>
      <c r="P57" s="33"/>
      <c r="Q57" s="33"/>
      <c r="R57" s="52"/>
    </row>
    <row r="58" customHeight="1" spans="2:18">
      <c r="B58" s="19"/>
      <c r="C58" s="33"/>
      <c r="D58" s="33" t="s">
        <v>91</v>
      </c>
      <c r="E58" s="2">
        <f>E57+5</f>
        <v>425</v>
      </c>
      <c r="F58" s="33">
        <v>39.23</v>
      </c>
      <c r="G58" s="33">
        <v>13.93</v>
      </c>
      <c r="H58" s="33">
        <v>32.96</v>
      </c>
      <c r="I58" s="33">
        <v>12.9</v>
      </c>
      <c r="J58" s="33"/>
      <c r="K58" s="33"/>
      <c r="L58" s="32">
        <f>CEILING(550/F58,1)</f>
        <v>15</v>
      </c>
      <c r="M58" s="43">
        <f>(E58*L58*2)/6000</f>
        <v>2.125</v>
      </c>
      <c r="N58" s="33"/>
      <c r="O58" s="33"/>
      <c r="P58" s="33"/>
      <c r="Q58" s="33"/>
      <c r="R58" s="52"/>
    </row>
    <row r="59" customHeight="1" spans="2:18">
      <c r="B59" s="19"/>
      <c r="C59" s="33"/>
      <c r="D59" s="33" t="s">
        <v>92</v>
      </c>
      <c r="E59" s="2">
        <f>E58+5</f>
        <v>430</v>
      </c>
      <c r="F59" s="33">
        <v>39.43</v>
      </c>
      <c r="G59" s="33">
        <v>14</v>
      </c>
      <c r="H59" s="33">
        <v>33.16</v>
      </c>
      <c r="I59" s="33">
        <v>12.97</v>
      </c>
      <c r="J59" s="33"/>
      <c r="K59" s="33"/>
      <c r="L59" s="32">
        <f>CEILING(550/F59,1)</f>
        <v>14</v>
      </c>
      <c r="M59" s="43">
        <f>(E59*L59*2)/6000</f>
        <v>2.00666666666667</v>
      </c>
      <c r="N59" s="33"/>
      <c r="O59" s="33"/>
      <c r="P59" s="33"/>
      <c r="Q59" s="33"/>
      <c r="R59" s="52"/>
    </row>
    <row r="60" customHeight="1" spans="2:18">
      <c r="B60" s="19"/>
      <c r="C60" s="33"/>
      <c r="D60" s="33" t="s">
        <v>93</v>
      </c>
      <c r="E60" s="2">
        <f>E59+5</f>
        <v>435</v>
      </c>
      <c r="F60" s="33">
        <v>39.63</v>
      </c>
      <c r="G60" s="33">
        <v>14.08</v>
      </c>
      <c r="H60" s="33">
        <v>33.36</v>
      </c>
      <c r="I60" s="33">
        <v>13.05</v>
      </c>
      <c r="J60" s="33"/>
      <c r="K60" s="33"/>
      <c r="L60" s="32">
        <f>CEILING(550/F60,1)</f>
        <v>14</v>
      </c>
      <c r="M60" s="43">
        <f>(E60*L60*2)/6000</f>
        <v>2.03</v>
      </c>
      <c r="N60" s="33"/>
      <c r="O60" s="33"/>
      <c r="P60" s="33"/>
      <c r="Q60" s="33"/>
      <c r="R60" s="52"/>
    </row>
    <row r="61" customHeight="1" spans="2:18">
      <c r="B61" s="19"/>
      <c r="C61" s="34" t="s">
        <v>94</v>
      </c>
      <c r="D61" s="4" t="s">
        <v>95</v>
      </c>
      <c r="E61" s="2">
        <v>565</v>
      </c>
      <c r="F61" s="4">
        <v>51.85</v>
      </c>
      <c r="G61" s="4">
        <v>13.93</v>
      </c>
      <c r="H61" s="4">
        <v>43.4</v>
      </c>
      <c r="I61" s="4">
        <v>13.02</v>
      </c>
      <c r="J61" s="4" t="str">
        <f>MIN(F61:F66)&amp;"~"&amp;MAX(F61:F66)</f>
        <v>51.85~52.6</v>
      </c>
      <c r="K61" s="4" t="str">
        <f>MIN(G61:G66)&amp;"~"&amp;MAX(G61:G66)</f>
        <v>13.93~14.26</v>
      </c>
      <c r="L61" s="48">
        <f t="shared" ref="L61:L66" si="6">CEILING(550/F61,1)</f>
        <v>11</v>
      </c>
      <c r="M61" s="41">
        <f t="shared" ref="M61:M66" si="7">(E61*L61*2)/6000</f>
        <v>2.07166666666667</v>
      </c>
      <c r="N61" s="4" t="str">
        <f>MIN(E61:E66)&amp;"~"&amp;MAX(E61:E66)</f>
        <v>565~590</v>
      </c>
      <c r="O61" s="4" t="str">
        <f>MIN(H61:H66)&amp;"~"&amp;MAX(H61:H66)</f>
        <v>43.4~44.15</v>
      </c>
      <c r="P61" s="4" t="str">
        <f>MIN(I61:I66)&amp;"~"&amp;MAX(I61:I66)</f>
        <v>13.02~13.37</v>
      </c>
      <c r="Q61" s="4" t="s">
        <v>28</v>
      </c>
      <c r="R61" s="54" t="s">
        <v>69</v>
      </c>
    </row>
    <row r="62" customHeight="1" spans="2:18">
      <c r="B62" s="19"/>
      <c r="C62" s="34"/>
      <c r="D62" s="4" t="s">
        <v>96</v>
      </c>
      <c r="E62" s="2">
        <f>E61+5</f>
        <v>570</v>
      </c>
      <c r="F62" s="4">
        <v>52</v>
      </c>
      <c r="G62" s="4">
        <v>14</v>
      </c>
      <c r="H62" s="4">
        <v>43.55</v>
      </c>
      <c r="I62" s="4">
        <v>13.09</v>
      </c>
      <c r="J62" s="4"/>
      <c r="K62" s="4"/>
      <c r="L62" s="48">
        <f t="shared" si="6"/>
        <v>11</v>
      </c>
      <c r="M62" s="41">
        <f t="shared" si="7"/>
        <v>2.09</v>
      </c>
      <c r="N62" s="4"/>
      <c r="O62" s="4"/>
      <c r="P62" s="4"/>
      <c r="Q62" s="4"/>
      <c r="R62" s="54"/>
    </row>
    <row r="63" customHeight="1" spans="2:25">
      <c r="B63" s="19"/>
      <c r="C63" s="34"/>
      <c r="D63" s="4" t="s">
        <v>97</v>
      </c>
      <c r="E63" s="2">
        <f>E62+5</f>
        <v>575</v>
      </c>
      <c r="F63" s="4">
        <v>52.15</v>
      </c>
      <c r="G63" s="4">
        <v>14.06</v>
      </c>
      <c r="H63" s="4">
        <v>43.7</v>
      </c>
      <c r="I63" s="4">
        <v>13.16</v>
      </c>
      <c r="J63" s="4"/>
      <c r="K63" s="4"/>
      <c r="L63" s="48">
        <f t="shared" si="6"/>
        <v>11</v>
      </c>
      <c r="M63" s="41">
        <f t="shared" si="7"/>
        <v>2.10833333333333</v>
      </c>
      <c r="N63" s="4"/>
      <c r="O63" s="4"/>
      <c r="P63" s="4"/>
      <c r="Q63" s="4"/>
      <c r="R63" s="54"/>
      <c r="T63"/>
      <c r="U63"/>
      <c r="V63"/>
      <c r="W63"/>
      <c r="X63"/>
      <c r="Y63"/>
    </row>
    <row r="64" customHeight="1" spans="2:25">
      <c r="B64" s="19"/>
      <c r="C64" s="34"/>
      <c r="D64" s="4" t="s">
        <v>98</v>
      </c>
      <c r="E64" s="2">
        <f>E63+5</f>
        <v>580</v>
      </c>
      <c r="F64" s="4">
        <v>52.3</v>
      </c>
      <c r="G64" s="4">
        <v>14.13</v>
      </c>
      <c r="H64" s="4">
        <v>43.85</v>
      </c>
      <c r="I64" s="4">
        <v>13.23</v>
      </c>
      <c r="J64" s="4"/>
      <c r="K64" s="4"/>
      <c r="L64" s="48">
        <f t="shared" si="6"/>
        <v>11</v>
      </c>
      <c r="M64" s="41">
        <f t="shared" si="7"/>
        <v>2.12666666666667</v>
      </c>
      <c r="N64" s="4"/>
      <c r="O64" s="4"/>
      <c r="P64" s="4"/>
      <c r="Q64" s="4"/>
      <c r="R64" s="54"/>
      <c r="T64"/>
      <c r="U64"/>
      <c r="V64"/>
      <c r="W64"/>
      <c r="X64"/>
      <c r="Y64"/>
    </row>
    <row r="65" customHeight="1" spans="2:25">
      <c r="B65" s="19"/>
      <c r="C65" s="57"/>
      <c r="D65" s="4" t="s">
        <v>99</v>
      </c>
      <c r="E65" s="2">
        <f>E64+5</f>
        <v>585</v>
      </c>
      <c r="F65" s="4">
        <v>52.45</v>
      </c>
      <c r="G65" s="4">
        <v>14.19</v>
      </c>
      <c r="H65" s="4">
        <v>44</v>
      </c>
      <c r="I65" s="4">
        <v>13.3</v>
      </c>
      <c r="J65" s="4"/>
      <c r="K65" s="4"/>
      <c r="L65" s="48">
        <f t="shared" si="6"/>
        <v>11</v>
      </c>
      <c r="M65" s="41">
        <f t="shared" si="7"/>
        <v>2.145</v>
      </c>
      <c r="N65" s="4"/>
      <c r="O65" s="4"/>
      <c r="P65" s="4"/>
      <c r="Q65" s="4"/>
      <c r="R65" s="54"/>
      <c r="T65"/>
      <c r="U65"/>
      <c r="V65"/>
      <c r="W65"/>
      <c r="X65"/>
      <c r="Y65"/>
    </row>
    <row r="66" customHeight="1" spans="2:25">
      <c r="B66" s="19"/>
      <c r="C66" s="34"/>
      <c r="D66" s="4" t="s">
        <v>100</v>
      </c>
      <c r="E66" s="2">
        <f>E65+5</f>
        <v>590</v>
      </c>
      <c r="F66" s="4">
        <v>52.6</v>
      </c>
      <c r="G66" s="4">
        <v>14.26</v>
      </c>
      <c r="H66" s="4">
        <v>44.15</v>
      </c>
      <c r="I66" s="4">
        <v>13.37</v>
      </c>
      <c r="J66" s="4"/>
      <c r="K66" s="4"/>
      <c r="L66" s="48">
        <f t="shared" si="6"/>
        <v>11</v>
      </c>
      <c r="M66" s="41">
        <f t="shared" si="7"/>
        <v>2.16333333333333</v>
      </c>
      <c r="N66" s="4"/>
      <c r="O66" s="4"/>
      <c r="P66" s="4"/>
      <c r="Q66" s="4"/>
      <c r="R66" s="54"/>
      <c r="T66"/>
      <c r="U66"/>
      <c r="V66"/>
      <c r="W66"/>
      <c r="X66"/>
      <c r="Y66"/>
    </row>
    <row r="67" customHeight="1" spans="2:25">
      <c r="B67" s="19"/>
      <c r="C67" s="58" t="s">
        <v>101</v>
      </c>
      <c r="D67" s="33" t="s">
        <v>102</v>
      </c>
      <c r="E67" s="2">
        <v>565</v>
      </c>
      <c r="F67" s="33">
        <v>51.76</v>
      </c>
      <c r="G67" s="33">
        <v>14.01</v>
      </c>
      <c r="H67" s="33">
        <v>43.61</v>
      </c>
      <c r="I67" s="33">
        <v>12.96</v>
      </c>
      <c r="J67" s="33" t="str">
        <f>MIN(F67:F74)&amp;"~"&amp;MAX(F67:F74)</f>
        <v>51.76~52.81</v>
      </c>
      <c r="K67" s="33" t="str">
        <f>MIN(G67:G74)&amp;"~"&amp;MAX(G67:G74)</f>
        <v>14.01~14.46</v>
      </c>
      <c r="L67" s="32">
        <f t="shared" ref="L67:L74" si="8">CEILING(550/F67,1)</f>
        <v>11</v>
      </c>
      <c r="M67" s="43">
        <f t="shared" ref="M67:M74" si="9">(E67*L67*2)/6000</f>
        <v>2.07166666666667</v>
      </c>
      <c r="N67" s="60" t="str">
        <f>MIN(E67:E74)&amp;"~"&amp;MAX(E67:E74)</f>
        <v>565~600</v>
      </c>
      <c r="O67" s="60" t="str">
        <f>MIN(H67:H74)&amp;"~"&amp;MAX(H67:H74)</f>
        <v>43.61~44.66</v>
      </c>
      <c r="P67" s="60" t="str">
        <f>MIN(I67:I74)&amp;"~"&amp;MAX(I67:I74)</f>
        <v>12.96~13.44</v>
      </c>
      <c r="Q67" s="60" t="s">
        <v>103</v>
      </c>
      <c r="R67" s="61" t="s">
        <v>69</v>
      </c>
      <c r="T67"/>
      <c r="U67"/>
      <c r="V67"/>
      <c r="W67"/>
      <c r="X67"/>
      <c r="Y67"/>
    </row>
    <row r="68" customHeight="1" spans="2:25">
      <c r="B68" s="19"/>
      <c r="C68" s="58"/>
      <c r="D68" s="33" t="s">
        <v>104</v>
      </c>
      <c r="E68" s="2">
        <f>E67+5</f>
        <v>570</v>
      </c>
      <c r="F68" s="33">
        <v>51.91</v>
      </c>
      <c r="G68" s="33">
        <v>14.07</v>
      </c>
      <c r="H68" s="33">
        <v>43.76</v>
      </c>
      <c r="I68" s="33">
        <v>13.03</v>
      </c>
      <c r="J68" s="33"/>
      <c r="K68" s="33"/>
      <c r="L68" s="32">
        <f t="shared" si="8"/>
        <v>11</v>
      </c>
      <c r="M68" s="43">
        <f t="shared" si="9"/>
        <v>2.09</v>
      </c>
      <c r="N68" s="60"/>
      <c r="O68" s="60"/>
      <c r="P68" s="60"/>
      <c r="Q68" s="60"/>
      <c r="R68" s="61"/>
      <c r="T68"/>
      <c r="U68"/>
      <c r="V68"/>
      <c r="W68"/>
      <c r="X68"/>
      <c r="Y68"/>
    </row>
    <row r="69" customHeight="1" spans="2:25">
      <c r="B69" s="19"/>
      <c r="C69" s="58"/>
      <c r="D69" s="33" t="s">
        <v>105</v>
      </c>
      <c r="E69" s="2">
        <f t="shared" ref="E69:E74" si="10">E68+5</f>
        <v>575</v>
      </c>
      <c r="F69" s="33">
        <v>52.06</v>
      </c>
      <c r="G69" s="33">
        <v>14.14</v>
      </c>
      <c r="H69" s="33">
        <v>43.91</v>
      </c>
      <c r="I69" s="33">
        <v>13.1</v>
      </c>
      <c r="J69" s="33"/>
      <c r="K69" s="33"/>
      <c r="L69" s="32">
        <f t="shared" si="8"/>
        <v>11</v>
      </c>
      <c r="M69" s="43">
        <f t="shared" si="9"/>
        <v>2.10833333333333</v>
      </c>
      <c r="N69" s="60"/>
      <c r="O69" s="60"/>
      <c r="P69" s="60"/>
      <c r="Q69" s="60"/>
      <c r="R69" s="61"/>
      <c r="T69"/>
      <c r="U69"/>
      <c r="V69"/>
      <c r="W69"/>
      <c r="X69"/>
      <c r="Y69"/>
    </row>
    <row r="70" customHeight="1" spans="2:25">
      <c r="B70" s="19"/>
      <c r="C70" s="58"/>
      <c r="D70" s="33" t="s">
        <v>106</v>
      </c>
      <c r="E70" s="2">
        <f t="shared" si="10"/>
        <v>580</v>
      </c>
      <c r="F70" s="33">
        <v>52.21</v>
      </c>
      <c r="G70" s="33">
        <v>14.2</v>
      </c>
      <c r="H70" s="33">
        <v>44.06</v>
      </c>
      <c r="I70" s="33">
        <v>13.17</v>
      </c>
      <c r="J70" s="33"/>
      <c r="K70" s="33"/>
      <c r="L70" s="32">
        <f t="shared" si="8"/>
        <v>11</v>
      </c>
      <c r="M70" s="43">
        <f t="shared" si="9"/>
        <v>2.12666666666667</v>
      </c>
      <c r="N70" s="60"/>
      <c r="O70" s="60"/>
      <c r="P70" s="60"/>
      <c r="Q70" s="60"/>
      <c r="R70" s="61"/>
      <c r="T70"/>
      <c r="U70"/>
      <c r="V70"/>
      <c r="W70"/>
      <c r="X70"/>
      <c r="Y70"/>
    </row>
    <row r="71" customHeight="1" spans="2:25">
      <c r="B71" s="19"/>
      <c r="C71" s="58"/>
      <c r="D71" s="33" t="s">
        <v>107</v>
      </c>
      <c r="E71" s="2">
        <f t="shared" si="10"/>
        <v>585</v>
      </c>
      <c r="F71" s="33">
        <v>52.36</v>
      </c>
      <c r="G71" s="33">
        <v>14.27</v>
      </c>
      <c r="H71" s="33">
        <v>44.21</v>
      </c>
      <c r="I71" s="33">
        <v>13.24</v>
      </c>
      <c r="J71" s="33"/>
      <c r="K71" s="33"/>
      <c r="L71" s="32">
        <f t="shared" si="8"/>
        <v>11</v>
      </c>
      <c r="M71" s="43">
        <f t="shared" si="9"/>
        <v>2.145</v>
      </c>
      <c r="N71" s="60"/>
      <c r="O71" s="60"/>
      <c r="P71" s="60"/>
      <c r="Q71" s="60"/>
      <c r="R71" s="61"/>
      <c r="T71"/>
      <c r="U71"/>
      <c r="V71"/>
      <c r="W71"/>
      <c r="X71"/>
      <c r="Y71"/>
    </row>
    <row r="72" customHeight="1" spans="2:25">
      <c r="B72" s="19"/>
      <c r="C72" s="58"/>
      <c r="D72" s="33" t="s">
        <v>108</v>
      </c>
      <c r="E72" s="2">
        <f t="shared" si="10"/>
        <v>590</v>
      </c>
      <c r="F72" s="33">
        <v>52.51</v>
      </c>
      <c r="G72" s="33">
        <v>14.33</v>
      </c>
      <c r="H72" s="33">
        <v>44.36</v>
      </c>
      <c r="I72" s="33">
        <v>13.31</v>
      </c>
      <c r="J72" s="33"/>
      <c r="K72" s="33"/>
      <c r="L72" s="32">
        <f t="shared" si="8"/>
        <v>11</v>
      </c>
      <c r="M72" s="43">
        <f t="shared" si="9"/>
        <v>2.16333333333333</v>
      </c>
      <c r="N72" s="60"/>
      <c r="O72" s="60"/>
      <c r="P72" s="60"/>
      <c r="Q72" s="60"/>
      <c r="R72" s="61"/>
      <c r="T72"/>
      <c r="U72"/>
      <c r="V72"/>
      <c r="W72"/>
      <c r="X72"/>
      <c r="Y72"/>
    </row>
    <row r="73" customHeight="1" spans="2:25">
      <c r="B73" s="19"/>
      <c r="C73" s="58"/>
      <c r="D73" s="33" t="s">
        <v>109</v>
      </c>
      <c r="E73" s="2">
        <f t="shared" si="10"/>
        <v>595</v>
      </c>
      <c r="F73" s="33">
        <v>52.66</v>
      </c>
      <c r="G73" s="33">
        <v>14.4</v>
      </c>
      <c r="H73" s="33">
        <v>44.51</v>
      </c>
      <c r="I73" s="33">
        <v>13.37</v>
      </c>
      <c r="J73" s="33"/>
      <c r="K73" s="33"/>
      <c r="L73" s="32">
        <f t="shared" si="8"/>
        <v>11</v>
      </c>
      <c r="M73" s="43">
        <f t="shared" si="9"/>
        <v>2.18166666666667</v>
      </c>
      <c r="N73" s="60"/>
      <c r="O73" s="60"/>
      <c r="P73" s="60"/>
      <c r="Q73" s="60"/>
      <c r="R73" s="61"/>
      <c r="T73"/>
      <c r="U73"/>
      <c r="V73"/>
      <c r="W73"/>
      <c r="X73"/>
      <c r="Y73"/>
    </row>
    <row r="74" customHeight="1" spans="2:25">
      <c r="B74" s="19"/>
      <c r="C74" s="58"/>
      <c r="D74" s="33" t="s">
        <v>110</v>
      </c>
      <c r="E74" s="2">
        <f t="shared" si="10"/>
        <v>600</v>
      </c>
      <c r="F74" s="33">
        <v>52.81</v>
      </c>
      <c r="G74" s="33">
        <v>14.46</v>
      </c>
      <c r="H74" s="33">
        <v>44.66</v>
      </c>
      <c r="I74" s="33">
        <v>13.44</v>
      </c>
      <c r="J74" s="33"/>
      <c r="K74" s="33"/>
      <c r="L74" s="32">
        <f t="shared" si="8"/>
        <v>11</v>
      </c>
      <c r="M74" s="43">
        <f t="shared" si="9"/>
        <v>2.2</v>
      </c>
      <c r="N74" s="60"/>
      <c r="O74" s="60"/>
      <c r="P74" s="60"/>
      <c r="Q74" s="60"/>
      <c r="R74" s="61"/>
      <c r="T74"/>
      <c r="U74"/>
      <c r="V74"/>
      <c r="W74"/>
      <c r="X74"/>
      <c r="Y74"/>
    </row>
    <row r="75" customHeight="1" spans="2:18">
      <c r="B75" s="19"/>
      <c r="C75" s="34" t="s">
        <v>111</v>
      </c>
      <c r="D75" s="4" t="s">
        <v>112</v>
      </c>
      <c r="E75" s="2">
        <v>590</v>
      </c>
      <c r="F75" s="4">
        <v>52.51</v>
      </c>
      <c r="G75" s="4">
        <v>14.33</v>
      </c>
      <c r="H75" s="4">
        <v>44.36</v>
      </c>
      <c r="I75" s="4">
        <v>13.31</v>
      </c>
      <c r="J75" s="4" t="str">
        <f>MIN(F75:F77)&amp;"~"&amp;MAX(F75:F77)</f>
        <v>52.51~52.81</v>
      </c>
      <c r="K75" s="4" t="str">
        <f>MIN(G75:G77)&amp;"~"&amp;MAX(G75:G77)</f>
        <v>14.33~14.46</v>
      </c>
      <c r="L75" s="48">
        <f t="shared" ref="L75:L86" si="11">CEILING(550/F75,1)</f>
        <v>11</v>
      </c>
      <c r="M75" s="41">
        <f t="shared" ref="M75:M86" si="12">(E75*L75*2)/6000</f>
        <v>2.16333333333333</v>
      </c>
      <c r="N75" s="4" t="str">
        <f>MIN(E75:E77)&amp;"~"&amp;MAX(E75:E77)</f>
        <v>590~600</v>
      </c>
      <c r="O75" s="4" t="str">
        <f>MIN(H75:H77)&amp;"~"&amp;MAX(H75:H77)</f>
        <v>44.36~44.66</v>
      </c>
      <c r="P75" s="4" t="str">
        <f>MIN(I75:I77)&amp;"~"&amp;MAX(I75:I77)</f>
        <v>13.31~13.44</v>
      </c>
      <c r="Q75" s="4" t="s">
        <v>36</v>
      </c>
      <c r="R75" s="54" t="s">
        <v>69</v>
      </c>
    </row>
    <row r="76" customHeight="1" spans="2:18">
      <c r="B76" s="19"/>
      <c r="C76" s="34"/>
      <c r="D76" s="4" t="s">
        <v>113</v>
      </c>
      <c r="E76" s="2">
        <v>595</v>
      </c>
      <c r="F76" s="4">
        <v>52.66</v>
      </c>
      <c r="G76" s="4">
        <v>14.4</v>
      </c>
      <c r="H76" s="4">
        <v>44.51</v>
      </c>
      <c r="I76" s="4">
        <v>13.37</v>
      </c>
      <c r="J76" s="4"/>
      <c r="K76" s="4"/>
      <c r="L76" s="48">
        <f t="shared" si="11"/>
        <v>11</v>
      </c>
      <c r="M76" s="41">
        <f t="shared" si="12"/>
        <v>2.18166666666667</v>
      </c>
      <c r="N76" s="4"/>
      <c r="O76" s="4"/>
      <c r="P76" s="4"/>
      <c r="Q76" s="4"/>
      <c r="R76" s="54"/>
    </row>
    <row r="77" customHeight="1" spans="2:18">
      <c r="B77" s="19"/>
      <c r="C77" s="34"/>
      <c r="D77" s="4" t="s">
        <v>114</v>
      </c>
      <c r="E77" s="2">
        <v>600</v>
      </c>
      <c r="F77" s="4">
        <v>52.81</v>
      </c>
      <c r="G77" s="4">
        <v>14.46</v>
      </c>
      <c r="H77" s="4">
        <v>44.66</v>
      </c>
      <c r="I77" s="4">
        <v>13.44</v>
      </c>
      <c r="J77" s="4"/>
      <c r="K77" s="4"/>
      <c r="L77" s="48">
        <f t="shared" si="11"/>
        <v>11</v>
      </c>
      <c r="M77" s="41">
        <f t="shared" si="12"/>
        <v>2.2</v>
      </c>
      <c r="N77" s="4"/>
      <c r="O77" s="4"/>
      <c r="P77" s="4"/>
      <c r="Q77" s="4"/>
      <c r="R77" s="54"/>
    </row>
    <row r="78" customHeight="1" spans="2:18">
      <c r="B78" s="19"/>
      <c r="C78" s="32" t="s">
        <v>111</v>
      </c>
      <c r="D78" s="33" t="s">
        <v>112</v>
      </c>
      <c r="E78" s="2">
        <v>590</v>
      </c>
      <c r="F78" s="33">
        <v>52.51</v>
      </c>
      <c r="G78" s="33">
        <v>14.33</v>
      </c>
      <c r="H78" s="33">
        <v>44.36</v>
      </c>
      <c r="I78" s="33">
        <v>13.31</v>
      </c>
      <c r="J78" s="33" t="str">
        <f>MIN(F78:F80)&amp;"~"&amp;MAX(F78:F80)</f>
        <v>52.51~52.81</v>
      </c>
      <c r="K78" s="33" t="str">
        <f>MIN(G78:G80)&amp;"~"&amp;MAX(G78:G80)</f>
        <v>14.33~14.46</v>
      </c>
      <c r="L78" s="32">
        <f t="shared" si="11"/>
        <v>11</v>
      </c>
      <c r="M78" s="43">
        <f t="shared" si="12"/>
        <v>2.16333333333333</v>
      </c>
      <c r="N78" s="33" t="str">
        <f>MIN(E78:E80)&amp;"~"&amp;MAX(E78:E80)</f>
        <v>590~600</v>
      </c>
      <c r="O78" s="33" t="str">
        <f>MIN(H78:H80)&amp;"~"&amp;MAX(H78:H80)</f>
        <v>44.36~44.66</v>
      </c>
      <c r="P78" s="33" t="str">
        <f>MIN(I78:I80)&amp;"~"&amp;MAX(I78:I80)</f>
        <v>13.31~13.44</v>
      </c>
      <c r="Q78" s="33" t="s">
        <v>28</v>
      </c>
      <c r="R78" s="52" t="s">
        <v>69</v>
      </c>
    </row>
    <row r="79" customHeight="1" spans="2:18">
      <c r="B79" s="19"/>
      <c r="C79" s="33"/>
      <c r="D79" s="33" t="s">
        <v>113</v>
      </c>
      <c r="E79" s="2">
        <v>595</v>
      </c>
      <c r="F79" s="33">
        <v>52.66</v>
      </c>
      <c r="G79" s="33">
        <v>14.4</v>
      </c>
      <c r="H79" s="33">
        <v>44.51</v>
      </c>
      <c r="I79" s="33">
        <v>13.37</v>
      </c>
      <c r="J79" s="33"/>
      <c r="K79" s="33"/>
      <c r="L79" s="32">
        <f t="shared" si="11"/>
        <v>11</v>
      </c>
      <c r="M79" s="43">
        <f t="shared" si="12"/>
        <v>2.18166666666667</v>
      </c>
      <c r="N79" s="33"/>
      <c r="O79" s="33"/>
      <c r="P79" s="33"/>
      <c r="Q79" s="33"/>
      <c r="R79" s="52"/>
    </row>
    <row r="80" customHeight="1" spans="2:18">
      <c r="B80" s="19"/>
      <c r="C80" s="33"/>
      <c r="D80" s="33" t="s">
        <v>114</v>
      </c>
      <c r="E80" s="2">
        <v>600</v>
      </c>
      <c r="F80" s="33">
        <v>52.81</v>
      </c>
      <c r="G80" s="33">
        <v>14.46</v>
      </c>
      <c r="H80" s="33">
        <v>44.66</v>
      </c>
      <c r="I80" s="33">
        <v>13.44</v>
      </c>
      <c r="J80" s="33"/>
      <c r="K80" s="33"/>
      <c r="L80" s="32">
        <f t="shared" si="11"/>
        <v>11</v>
      </c>
      <c r="M80" s="43">
        <f t="shared" si="12"/>
        <v>2.2</v>
      </c>
      <c r="N80" s="33"/>
      <c r="O80" s="33"/>
      <c r="P80" s="33"/>
      <c r="Q80" s="33"/>
      <c r="R80" s="52"/>
    </row>
    <row r="81" customHeight="1" spans="2:18">
      <c r="B81" s="19"/>
      <c r="C81" s="34" t="s">
        <v>115</v>
      </c>
      <c r="D81" s="4" t="s">
        <v>116</v>
      </c>
      <c r="E81" s="2">
        <v>445</v>
      </c>
      <c r="F81" s="4">
        <v>39.73</v>
      </c>
      <c r="G81" s="4">
        <v>14.37</v>
      </c>
      <c r="H81" s="4">
        <v>33.44</v>
      </c>
      <c r="I81" s="4">
        <v>13.31</v>
      </c>
      <c r="J81" s="4" t="str">
        <f>MIN(F81:F83)&amp;"~"&amp;MAX(F81:F83)</f>
        <v>39.73~40.13</v>
      </c>
      <c r="K81" s="4" t="str">
        <f>MIN(G81:G83)&amp;"~"&amp;MAX(G81:G83)</f>
        <v>14.37~14.52</v>
      </c>
      <c r="L81" s="48">
        <f t="shared" si="11"/>
        <v>14</v>
      </c>
      <c r="M81" s="41">
        <f t="shared" si="12"/>
        <v>2.07666666666667</v>
      </c>
      <c r="N81" s="4" t="str">
        <f>MIN(E81:E83)&amp;"~"&amp;MAX(E81:E83)</f>
        <v>445~455</v>
      </c>
      <c r="O81" s="4" t="str">
        <f>MIN(H81:H83)&amp;"~"&amp;MAX(H81:H83)</f>
        <v>33.44~33.84</v>
      </c>
      <c r="P81" s="4" t="str">
        <f>MIN(I81:I83)&amp;"~"&amp;MAX(I81:I83)</f>
        <v>13.31~13.45</v>
      </c>
      <c r="Q81" s="4" t="s">
        <v>43</v>
      </c>
      <c r="R81" s="54" t="s">
        <v>69</v>
      </c>
    </row>
    <row r="82" customHeight="1" spans="2:18">
      <c r="B82" s="19"/>
      <c r="C82" s="4"/>
      <c r="D82" s="4" t="s">
        <v>117</v>
      </c>
      <c r="E82" s="2">
        <v>450</v>
      </c>
      <c r="F82" s="4">
        <v>39.93</v>
      </c>
      <c r="G82" s="4">
        <v>14.45</v>
      </c>
      <c r="H82" s="4">
        <v>33.64</v>
      </c>
      <c r="I82" s="4">
        <v>13.38</v>
      </c>
      <c r="J82" s="4"/>
      <c r="K82" s="4"/>
      <c r="L82" s="48">
        <f t="shared" si="11"/>
        <v>14</v>
      </c>
      <c r="M82" s="41">
        <f t="shared" si="12"/>
        <v>2.1</v>
      </c>
      <c r="N82" s="4"/>
      <c r="O82" s="4"/>
      <c r="P82" s="4"/>
      <c r="Q82" s="7"/>
      <c r="R82" s="54"/>
    </row>
    <row r="83" customHeight="1" spans="2:18">
      <c r="B83" s="19"/>
      <c r="C83" s="4"/>
      <c r="D83" s="4" t="s">
        <v>118</v>
      </c>
      <c r="E83" s="2">
        <v>455</v>
      </c>
      <c r="F83" s="4">
        <v>40.13</v>
      </c>
      <c r="G83" s="4">
        <v>14.52</v>
      </c>
      <c r="H83" s="4">
        <v>33.84</v>
      </c>
      <c r="I83" s="4">
        <v>13.45</v>
      </c>
      <c r="J83" s="4"/>
      <c r="K83" s="4"/>
      <c r="L83" s="48">
        <f t="shared" si="11"/>
        <v>14</v>
      </c>
      <c r="M83" s="41">
        <f t="shared" si="12"/>
        <v>2.12333333333333</v>
      </c>
      <c r="N83" s="4"/>
      <c r="O83" s="4"/>
      <c r="P83" s="4"/>
      <c r="Q83" s="7"/>
      <c r="R83" s="54"/>
    </row>
    <row r="84" customHeight="1" spans="2:18">
      <c r="B84" s="19"/>
      <c r="C84" s="32" t="s">
        <v>119</v>
      </c>
      <c r="D84" s="33" t="s">
        <v>120</v>
      </c>
      <c r="E84" s="2">
        <v>440</v>
      </c>
      <c r="F84" s="33">
        <v>39.83</v>
      </c>
      <c r="G84" s="33">
        <v>14.15</v>
      </c>
      <c r="H84" s="33">
        <v>33.56</v>
      </c>
      <c r="I84" s="33">
        <v>13.12</v>
      </c>
      <c r="J84" s="33" t="str">
        <f>MIN(F84:F86)&amp;"~"&amp;MAX(F84:F86)</f>
        <v>39.83~40.23</v>
      </c>
      <c r="K84" s="33" t="str">
        <f>MIN(G84:G86)&amp;"~"&amp;MAX(G84:G86)</f>
        <v>14.15~14.31</v>
      </c>
      <c r="L84" s="32">
        <f t="shared" si="11"/>
        <v>14</v>
      </c>
      <c r="M84" s="43">
        <f t="shared" si="12"/>
        <v>2.05333333333333</v>
      </c>
      <c r="N84" s="33" t="str">
        <f>MIN(E84:E86)&amp;"~"&amp;MAX(E84:E86)</f>
        <v>440~450</v>
      </c>
      <c r="O84" s="33" t="str">
        <f>MIN(H84:H86)&amp;"~"&amp;MAX(H84:H86)</f>
        <v>33.56~33.96</v>
      </c>
      <c r="P84" s="33" t="str">
        <f>MIN(I84:I86)&amp;"~"&amp;MAX(I84:I86)</f>
        <v>13.12~13.27</v>
      </c>
      <c r="Q84" s="33" t="s">
        <v>43</v>
      </c>
      <c r="R84" s="52" t="s">
        <v>69</v>
      </c>
    </row>
    <row r="85" customHeight="1" spans="2:18">
      <c r="B85" s="19"/>
      <c r="C85" s="33"/>
      <c r="D85" s="33" t="s">
        <v>121</v>
      </c>
      <c r="E85" s="2">
        <v>445</v>
      </c>
      <c r="F85" s="33">
        <v>40.03</v>
      </c>
      <c r="G85" s="33">
        <v>14.23</v>
      </c>
      <c r="H85" s="33">
        <v>33.76</v>
      </c>
      <c r="I85" s="33">
        <v>13.19</v>
      </c>
      <c r="J85" s="33"/>
      <c r="K85" s="33"/>
      <c r="L85" s="32">
        <f t="shared" si="11"/>
        <v>14</v>
      </c>
      <c r="M85" s="43">
        <f t="shared" si="12"/>
        <v>2.07666666666667</v>
      </c>
      <c r="N85" s="33"/>
      <c r="O85" s="33"/>
      <c r="P85" s="33"/>
      <c r="Q85" s="33"/>
      <c r="R85" s="52"/>
    </row>
    <row r="86" customHeight="1" spans="2:18">
      <c r="B86" s="19"/>
      <c r="C86" s="33"/>
      <c r="D86" s="33" t="s">
        <v>122</v>
      </c>
      <c r="E86" s="2">
        <v>450</v>
      </c>
      <c r="F86" s="33">
        <v>40.23</v>
      </c>
      <c r="G86" s="33">
        <v>14.31</v>
      </c>
      <c r="H86" s="33">
        <v>33.96</v>
      </c>
      <c r="I86" s="33">
        <v>13.27</v>
      </c>
      <c r="J86" s="33"/>
      <c r="K86" s="33"/>
      <c r="L86" s="32">
        <f t="shared" si="11"/>
        <v>14</v>
      </c>
      <c r="M86" s="43">
        <f t="shared" si="12"/>
        <v>2.1</v>
      </c>
      <c r="N86" s="33"/>
      <c r="O86" s="33"/>
      <c r="P86" s="33"/>
      <c r="Q86" s="33"/>
      <c r="R86" s="52"/>
    </row>
    <row r="87" s="6" customFormat="1" customHeight="1" spans="1:18">
      <c r="A87" s="59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2"/>
    </row>
  </sheetData>
  <autoFilter ref="B5:R86">
    <extLst/>
  </autoFilter>
  <mergeCells count="132">
    <mergeCell ref="B2:F2"/>
    <mergeCell ref="G2:J2"/>
    <mergeCell ref="B3:F3"/>
    <mergeCell ref="B7:B86"/>
    <mergeCell ref="C7:C11"/>
    <mergeCell ref="C12:C16"/>
    <mergeCell ref="C17:C21"/>
    <mergeCell ref="C22:C29"/>
    <mergeCell ref="C31:C35"/>
    <mergeCell ref="C36:C40"/>
    <mergeCell ref="C41:C45"/>
    <mergeCell ref="C46:C50"/>
    <mergeCell ref="C51:C55"/>
    <mergeCell ref="C56:C60"/>
    <mergeCell ref="C61:C66"/>
    <mergeCell ref="C67:C74"/>
    <mergeCell ref="C75:C77"/>
    <mergeCell ref="C78:C80"/>
    <mergeCell ref="C81:C83"/>
    <mergeCell ref="C84:C86"/>
    <mergeCell ref="J7:J11"/>
    <mergeCell ref="J12:J16"/>
    <mergeCell ref="J17:J21"/>
    <mergeCell ref="J22:J29"/>
    <mergeCell ref="J30:J35"/>
    <mergeCell ref="J36:J40"/>
    <mergeCell ref="J41:J45"/>
    <mergeCell ref="J46:J50"/>
    <mergeCell ref="J51:J55"/>
    <mergeCell ref="J56:J60"/>
    <mergeCell ref="J61:J66"/>
    <mergeCell ref="J67:J74"/>
    <mergeCell ref="J75:J77"/>
    <mergeCell ref="J78:J80"/>
    <mergeCell ref="J81:J83"/>
    <mergeCell ref="J84:J86"/>
    <mergeCell ref="K7:K11"/>
    <mergeCell ref="K12:K16"/>
    <mergeCell ref="K17:K21"/>
    <mergeCell ref="K22:K29"/>
    <mergeCell ref="K30:K35"/>
    <mergeCell ref="K36:K40"/>
    <mergeCell ref="K41:K45"/>
    <mergeCell ref="K46:K50"/>
    <mergeCell ref="K51:K55"/>
    <mergeCell ref="K56:K60"/>
    <mergeCell ref="K61:K66"/>
    <mergeCell ref="K67:K74"/>
    <mergeCell ref="K75:K77"/>
    <mergeCell ref="K78:K80"/>
    <mergeCell ref="K81:K83"/>
    <mergeCell ref="K84:K86"/>
    <mergeCell ref="N7:N11"/>
    <mergeCell ref="N12:N16"/>
    <mergeCell ref="N17:N21"/>
    <mergeCell ref="N22:N29"/>
    <mergeCell ref="N30:N35"/>
    <mergeCell ref="N36:N40"/>
    <mergeCell ref="N41:N45"/>
    <mergeCell ref="N46:N50"/>
    <mergeCell ref="N51:N55"/>
    <mergeCell ref="N56:N60"/>
    <mergeCell ref="N61:N66"/>
    <mergeCell ref="N67:N74"/>
    <mergeCell ref="N75:N77"/>
    <mergeCell ref="N78:N80"/>
    <mergeCell ref="N81:N83"/>
    <mergeCell ref="N84:N86"/>
    <mergeCell ref="O7:O11"/>
    <mergeCell ref="O12:O16"/>
    <mergeCell ref="O17:O21"/>
    <mergeCell ref="O22:O29"/>
    <mergeCell ref="O30:O35"/>
    <mergeCell ref="O36:O40"/>
    <mergeCell ref="O41:O45"/>
    <mergeCell ref="O46:O50"/>
    <mergeCell ref="O51:O55"/>
    <mergeCell ref="O56:O60"/>
    <mergeCell ref="O61:O66"/>
    <mergeCell ref="O67:O74"/>
    <mergeCell ref="O75:O77"/>
    <mergeCell ref="O78:O80"/>
    <mergeCell ref="O81:O83"/>
    <mergeCell ref="O84:O86"/>
    <mergeCell ref="P7:P11"/>
    <mergeCell ref="P12:P16"/>
    <mergeCell ref="P17:P21"/>
    <mergeCell ref="P22:P29"/>
    <mergeCell ref="P30:P35"/>
    <mergeCell ref="P36:P40"/>
    <mergeCell ref="P41:P45"/>
    <mergeCell ref="P46:P50"/>
    <mergeCell ref="P51:P55"/>
    <mergeCell ref="P56:P60"/>
    <mergeCell ref="P61:P66"/>
    <mergeCell ref="P67:P74"/>
    <mergeCell ref="P75:P77"/>
    <mergeCell ref="P78:P80"/>
    <mergeCell ref="P81:P83"/>
    <mergeCell ref="P84:P86"/>
    <mergeCell ref="Q7:Q11"/>
    <mergeCell ref="Q12:Q16"/>
    <mergeCell ref="Q17:Q21"/>
    <mergeCell ref="Q22:Q29"/>
    <mergeCell ref="Q30:Q35"/>
    <mergeCell ref="Q36:Q40"/>
    <mergeCell ref="Q41:Q45"/>
    <mergeCell ref="Q46:Q50"/>
    <mergeCell ref="Q51:Q55"/>
    <mergeCell ref="Q56:Q60"/>
    <mergeCell ref="Q61:Q66"/>
    <mergeCell ref="Q67:Q74"/>
    <mergeCell ref="Q75:Q77"/>
    <mergeCell ref="Q78:Q80"/>
    <mergeCell ref="Q81:Q83"/>
    <mergeCell ref="Q84:Q86"/>
    <mergeCell ref="R7:R11"/>
    <mergeCell ref="R12:R16"/>
    <mergeCell ref="R17:R21"/>
    <mergeCell ref="R22:R29"/>
    <mergeCell ref="R30:R35"/>
    <mergeCell ref="R36:R40"/>
    <mergeCell ref="R41:R45"/>
    <mergeCell ref="R46:R50"/>
    <mergeCell ref="R51:R55"/>
    <mergeCell ref="R56:R60"/>
    <mergeCell ref="R61:R66"/>
    <mergeCell ref="R67:R74"/>
    <mergeCell ref="R75:R77"/>
    <mergeCell ref="R78:R80"/>
    <mergeCell ref="R81:R83"/>
    <mergeCell ref="R84:R8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8:E20"/>
  <sheetViews>
    <sheetView workbookViewId="0">
      <selection activeCell="H18" sqref="H18"/>
    </sheetView>
  </sheetViews>
  <sheetFormatPr defaultColWidth="9.33333333333333" defaultRowHeight="12" outlineLevelCol="4"/>
  <sheetData>
    <row r="18" ht="16.5" spans="5:5">
      <c r="E18" s="1"/>
    </row>
    <row r="19" ht="17.25" spans="5:5">
      <c r="E19" s="2"/>
    </row>
    <row r="20" ht="17.25" spans="5:5">
      <c r="E20" s="3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落叶风秋</dc:creator>
  <cp:lastModifiedBy>王庆祥</cp:lastModifiedBy>
  <dcterms:created xsi:type="dcterms:W3CDTF">2020-05-01T08:03:00Z</dcterms:created>
  <dcterms:modified xsi:type="dcterms:W3CDTF">2024-05-28T00:38:57Z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740651EA21E1462A80ABB0A0B7C2CEFD_11</vt:lpwstr>
  </property>
  <property fmtid="{D5CDD505-2E9C-101B-9397-08002B2CF9AE}" pid="3" name="KSOProductBuildVer">
    <vt:lpwstr>2052-12.1.0.16910</vt:lpwstr>
  </property>
  <property fmtid="{D5CDD505-2E9C-101B-9397-08002B2CF9AE}" pid="4" name="KSOTemplateUUID">
    <vt:lpwstr>v1.0_mb_WLfTdHHGxnLpVDC0YoFQ5w==</vt:lpwstr>
  </property>
</Properties>
</file>